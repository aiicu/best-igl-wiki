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best igl wiki\huge数据对比\"/>
    </mc:Choice>
  </mc:AlternateContent>
  <xr:revisionPtr revIDLastSave="0" documentId="13_ncr:1_{1E736D65-A999-4E8E-907D-4133622775E5}" xr6:coauthVersionLast="47" xr6:coauthVersionMax="47" xr10:uidLastSave="{00000000-0000-0000-0000-000000000000}"/>
  <bookViews>
    <workbookView xWindow="-31087" yWindow="-109" windowWidth="31196" windowHeight="1897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4" i="1" l="1"/>
  <c r="K16" i="1"/>
  <c r="H24" i="1"/>
  <c r="H23" i="1"/>
  <c r="H22" i="1"/>
  <c r="H21" i="1"/>
  <c r="H16" i="1"/>
  <c r="H15" i="1"/>
  <c r="H14" i="1"/>
  <c r="H13" i="1"/>
  <c r="I13" i="1"/>
  <c r="I14" i="1"/>
  <c r="I15" i="1"/>
  <c r="I16" i="1"/>
  <c r="I21" i="1"/>
  <c r="I22" i="1"/>
  <c r="I23" i="1"/>
  <c r="I24" i="1"/>
  <c r="I8" i="1"/>
  <c r="H8" i="1"/>
  <c r="H7" i="1"/>
  <c r="H6" i="1"/>
  <c r="H5" i="1"/>
  <c r="M16" i="1"/>
  <c r="J24" i="1"/>
  <c r="G24" i="1"/>
  <c r="F24" i="1"/>
  <c r="K23" i="1"/>
  <c r="J23" i="1"/>
  <c r="G23" i="1"/>
  <c r="F23" i="1"/>
  <c r="K22" i="1"/>
  <c r="J22" i="1"/>
  <c r="G22" i="1"/>
  <c r="F22" i="1"/>
  <c r="M21" i="1"/>
  <c r="L21" i="1"/>
  <c r="K21" i="1"/>
  <c r="J21" i="1"/>
  <c r="G21" i="1"/>
  <c r="F21" i="1"/>
  <c r="M20" i="1"/>
  <c r="L20" i="1"/>
  <c r="I20" i="1"/>
  <c r="M12" i="1"/>
  <c r="M13" i="1" s="1"/>
  <c r="L12" i="1"/>
  <c r="L13" i="1" s="1"/>
  <c r="I12" i="1"/>
  <c r="J16" i="1"/>
  <c r="G16" i="1"/>
  <c r="F16" i="1"/>
  <c r="K15" i="1"/>
  <c r="J15" i="1"/>
  <c r="G15" i="1"/>
  <c r="F15" i="1"/>
  <c r="K14" i="1"/>
  <c r="J14" i="1"/>
  <c r="G14" i="1"/>
  <c r="F14" i="1"/>
  <c r="K13" i="1"/>
  <c r="J13" i="1"/>
  <c r="G13" i="1"/>
  <c r="F13" i="1"/>
  <c r="M8" i="1"/>
  <c r="L8" i="1"/>
  <c r="K8" i="1"/>
  <c r="J8" i="1"/>
  <c r="I7" i="1"/>
  <c r="G8" i="1"/>
  <c r="K7" i="1"/>
  <c r="I6" i="1"/>
  <c r="I5" i="1"/>
  <c r="M7" i="1"/>
  <c r="M6" i="1"/>
  <c r="L7" i="1"/>
  <c r="J7" i="1"/>
  <c r="L6" i="1"/>
  <c r="K6" i="1"/>
  <c r="K5" i="1"/>
  <c r="J6" i="1"/>
  <c r="M5" i="1"/>
  <c r="L5" i="1"/>
  <c r="J5" i="1"/>
  <c r="G6" i="1"/>
  <c r="G5" i="1"/>
  <c r="G7" i="1"/>
  <c r="F8" i="1"/>
  <c r="F7" i="1"/>
  <c r="F6" i="1"/>
  <c r="F5" i="1"/>
  <c r="M4" i="1"/>
  <c r="L4" i="1"/>
  <c r="I4" i="1"/>
  <c r="M18" i="1"/>
  <c r="L18" i="1"/>
  <c r="I18" i="1"/>
  <c r="M10" i="1"/>
  <c r="L10" i="1"/>
  <c r="I10" i="1"/>
  <c r="M2" i="1"/>
  <c r="L2" i="1"/>
  <c r="I2" i="1"/>
  <c r="M19" i="1" l="1"/>
  <c r="L19" i="1"/>
  <c r="I19" i="1"/>
  <c r="L24" i="1" l="1"/>
  <c r="L23" i="1"/>
  <c r="L22" i="1"/>
  <c r="M24" i="1"/>
  <c r="M22" i="1"/>
  <c r="M23" i="1"/>
  <c r="I11" i="1"/>
  <c r="L11" i="1"/>
  <c r="M11" i="1"/>
  <c r="I3" i="1"/>
  <c r="L3" i="1"/>
  <c r="M3" i="1"/>
  <c r="M14" i="1" l="1"/>
  <c r="M15" i="1"/>
  <c r="L15" i="1"/>
  <c r="L14" i="1"/>
  <c r="L16" i="1"/>
</calcChain>
</file>

<file path=xl/sharedStrings.xml><?xml version="1.0" encoding="utf-8"?>
<sst xmlns="http://schemas.openxmlformats.org/spreadsheetml/2006/main" count="69" uniqueCount="22">
  <si>
    <t>选手</t>
    <phoneticPr fontId="1" type="noConversion"/>
  </si>
  <si>
    <t>比赛</t>
    <phoneticPr fontId="1" type="noConversion"/>
  </si>
  <si>
    <t>3mz</t>
    <phoneticPr fontId="1" type="noConversion"/>
  </si>
  <si>
    <t>kills</t>
    <phoneticPr fontId="1" type="noConversion"/>
  </si>
  <si>
    <t>Assists</t>
    <phoneticPr fontId="1" type="noConversion"/>
  </si>
  <si>
    <t>Dmg dealt</t>
    <phoneticPr fontId="1" type="noConversion"/>
  </si>
  <si>
    <t>Dmg taken</t>
    <phoneticPr fontId="1" type="noConversion"/>
  </si>
  <si>
    <t>Dmg diff</t>
    <phoneticPr fontId="1" type="noConversion"/>
  </si>
  <si>
    <t>Deaths</t>
    <phoneticPr fontId="1" type="noConversion"/>
  </si>
  <si>
    <t>KA/D</t>
    <phoneticPr fontId="1" type="noConversion"/>
  </si>
  <si>
    <t>Games</t>
    <phoneticPr fontId="1" type="noConversion"/>
  </si>
  <si>
    <t>Dmg dealt/Games</t>
    <phoneticPr fontId="1" type="noConversion"/>
  </si>
  <si>
    <t>Y4-Championship</t>
    <phoneticPr fontId="1" type="noConversion"/>
  </si>
  <si>
    <t>Y4-S2 Playoffs</t>
    <phoneticPr fontId="1" type="noConversion"/>
  </si>
  <si>
    <t>Y4-Split2</t>
    <phoneticPr fontId="1" type="noConversion"/>
  </si>
  <si>
    <t>pite</t>
    <phoneticPr fontId="1" type="noConversion"/>
  </si>
  <si>
    <t>noname</t>
    <phoneticPr fontId="1" type="noConversion"/>
  </si>
  <si>
    <t>3mz-noname</t>
    <phoneticPr fontId="1" type="noConversion"/>
  </si>
  <si>
    <t>pite-noname</t>
    <phoneticPr fontId="1" type="noConversion"/>
  </si>
  <si>
    <t>3mz-pite</t>
    <phoneticPr fontId="1" type="noConversion"/>
  </si>
  <si>
    <t>3mz+pite-noname</t>
    <phoneticPr fontId="1" type="noConversion"/>
  </si>
  <si>
    <t>*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</si>
</sst>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[Color10]0;[Red]\-0;0"/>
    <numFmt numFmtId="177" formatCode="0.00_);[Red]\(0.00\)"/>
    <numFmt numFmtId="178" formatCode="[Color10]0.00;[Red]\-0.00;0.00"/>
    <numFmt numFmtId="179" formatCode="[Red]0;[Color10]\-0;0"/>
    <numFmt numFmtId="180" formatCode="0.0%"/>
    <numFmt numFmtId="181" formatCode="[Color10]0.0%;[Red]\-0.0%;0.0%"/>
    <numFmt numFmtId="182" formatCode="0.00_ "/>
    <numFmt numFmtId="185" formatCode="[Blue]0;[Red]\-0;0"/>
    <numFmt numFmtId="186" formatCode="[Color10]0;[Blue]\-0;0"/>
    <numFmt numFmtId="187" formatCode="[Red]0;[Blue]\-0;0"/>
    <numFmt numFmtId="188" formatCode="[Blue]0.00;[Red]\-0.00;0.00"/>
    <numFmt numFmtId="189" formatCode="[Blue]0;[Color10]\-0;0"/>
    <numFmt numFmtId="190" formatCode="[Color10]0.00;[Blue]\-0.00;0.00"/>
    <numFmt numFmtId="193" formatCode="[Color14]0;[Red]\-0;0"/>
    <numFmt numFmtId="195" formatCode="[Color14]0.00;[Red]\-0.00;0.00"/>
    <numFmt numFmtId="196" formatCode="[Red]0;[Color14]\-0;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18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85" fontId="0" fillId="0" borderId="0" xfId="0" applyNumberFormat="1" applyAlignment="1">
      <alignment horizontal="center" vertical="center"/>
    </xf>
    <xf numFmtId="186" fontId="0" fillId="0" borderId="0" xfId="0" applyNumberFormat="1" applyAlignment="1">
      <alignment horizontal="center" vertical="center"/>
    </xf>
    <xf numFmtId="187" fontId="0" fillId="0" borderId="0" xfId="0" applyNumberFormat="1" applyAlignment="1">
      <alignment horizontal="center" vertical="center"/>
    </xf>
    <xf numFmtId="188" fontId="0" fillId="0" borderId="0" xfId="0" applyNumberFormat="1" applyAlignment="1">
      <alignment horizontal="center" vertical="center"/>
    </xf>
    <xf numFmtId="189" fontId="0" fillId="0" borderId="0" xfId="0" applyNumberFormat="1" applyAlignment="1">
      <alignment horizontal="center" vertical="center"/>
    </xf>
    <xf numFmtId="190" fontId="0" fillId="0" borderId="0" xfId="0" applyNumberFormat="1" applyAlignment="1">
      <alignment horizontal="center" vertical="center"/>
    </xf>
    <xf numFmtId="193" fontId="0" fillId="0" borderId="0" xfId="0" applyNumberFormat="1" applyAlignment="1">
      <alignment horizontal="center" vertical="center"/>
    </xf>
    <xf numFmtId="195" fontId="0" fillId="0" borderId="0" xfId="0" applyNumberFormat="1" applyAlignment="1">
      <alignment horizontal="center" vertical="center"/>
    </xf>
    <xf numFmtId="19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8"/>
  <sheetViews>
    <sheetView tabSelected="1" zoomScaleNormal="100" workbookViewId="0">
      <selection activeCell="O10" sqref="O10"/>
    </sheetView>
  </sheetViews>
  <sheetFormatPr defaultRowHeight="13.95" x14ac:dyDescent="0.25"/>
  <cols>
    <col min="4" max="4" width="29.21875" customWidth="1"/>
    <col min="5" max="12" width="12.77734375" customWidth="1"/>
    <col min="13" max="13" width="17.33203125" customWidth="1"/>
    <col min="14" max="16" width="12.77734375" customWidth="1"/>
    <col min="18" max="20" width="12.77734375" customWidth="1"/>
  </cols>
  <sheetData>
    <row r="1" spans="1:28" ht="39.950000000000003" customHeight="1" x14ac:dyDescent="0.25">
      <c r="A1" s="12" t="s">
        <v>1</v>
      </c>
      <c r="B1" s="12"/>
      <c r="C1" s="12"/>
      <c r="D1" s="9" t="s">
        <v>0</v>
      </c>
      <c r="E1" s="9" t="s">
        <v>10</v>
      </c>
      <c r="F1" s="9" t="s">
        <v>3</v>
      </c>
      <c r="G1" s="9" t="s">
        <v>4</v>
      </c>
      <c r="H1" s="9" t="s">
        <v>8</v>
      </c>
      <c r="I1" s="9" t="s">
        <v>9</v>
      </c>
      <c r="J1" s="9" t="s">
        <v>5</v>
      </c>
      <c r="K1" s="9" t="s">
        <v>6</v>
      </c>
      <c r="L1" s="9" t="s">
        <v>7</v>
      </c>
      <c r="M1" s="9" t="s">
        <v>11</v>
      </c>
      <c r="N1" s="9"/>
      <c r="O1" s="9"/>
      <c r="P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28" ht="20" customHeight="1" x14ac:dyDescent="0.25">
      <c r="A2" s="12" t="s">
        <v>12</v>
      </c>
      <c r="B2" s="12"/>
      <c r="C2" s="12"/>
      <c r="D2" s="11" t="s">
        <v>2</v>
      </c>
      <c r="E2" s="11">
        <v>26</v>
      </c>
      <c r="F2" s="11">
        <v>27</v>
      </c>
      <c r="G2" s="11">
        <v>13</v>
      </c>
      <c r="H2" s="11">
        <v>26</v>
      </c>
      <c r="I2" s="3">
        <f>(F2+G2)/H2</f>
        <v>1.5384615384615385</v>
      </c>
      <c r="J2" s="11">
        <v>12306</v>
      </c>
      <c r="K2" s="11">
        <v>17033</v>
      </c>
      <c r="L2" s="11">
        <f>J2-K2</f>
        <v>-4727</v>
      </c>
      <c r="M2" s="8">
        <f t="shared" ref="M2" si="0">J2/E2</f>
        <v>473.30769230769232</v>
      </c>
      <c r="N2" s="6"/>
      <c r="O2" s="6"/>
      <c r="P2" s="6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 spans="1:28" ht="20" customHeight="1" x14ac:dyDescent="0.25">
      <c r="A3" s="12"/>
      <c r="B3" s="12"/>
      <c r="C3" s="12"/>
      <c r="D3" s="9" t="s">
        <v>15</v>
      </c>
      <c r="E3" s="9">
        <v>26</v>
      </c>
      <c r="F3" s="9">
        <v>14</v>
      </c>
      <c r="G3" s="9">
        <v>20</v>
      </c>
      <c r="H3" s="9">
        <v>26</v>
      </c>
      <c r="I3" s="3">
        <f>(F3+G3)/H3</f>
        <v>1.3076923076923077</v>
      </c>
      <c r="J3" s="9">
        <v>9996</v>
      </c>
      <c r="K3" s="9">
        <v>14564</v>
      </c>
      <c r="L3" s="9">
        <f>J3-K3</f>
        <v>-4568</v>
      </c>
      <c r="M3" s="8">
        <f t="shared" ref="M2:M3" si="1">J3/E3</f>
        <v>384.46153846153845</v>
      </c>
      <c r="N3" s="6"/>
      <c r="O3" s="6"/>
      <c r="P3" s="6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spans="1:28" ht="20" customHeight="1" x14ac:dyDescent="0.25">
      <c r="A4" s="12"/>
      <c r="B4" s="12"/>
      <c r="C4" s="12"/>
      <c r="D4" s="9" t="s">
        <v>16</v>
      </c>
      <c r="E4" s="11">
        <v>26</v>
      </c>
      <c r="F4" s="11">
        <v>12</v>
      </c>
      <c r="G4" s="11">
        <v>33</v>
      </c>
      <c r="H4" s="11">
        <v>27</v>
      </c>
      <c r="I4" s="3">
        <f>(F4+G4)/H4</f>
        <v>1.6666666666666667</v>
      </c>
      <c r="J4" s="11">
        <v>19119</v>
      </c>
      <c r="K4" s="11">
        <v>15300</v>
      </c>
      <c r="L4" s="11">
        <f>J4-K4</f>
        <v>3819</v>
      </c>
      <c r="M4" s="8">
        <f t="shared" ref="M4" si="2">J4/E4</f>
        <v>735.34615384615381</v>
      </c>
      <c r="N4" s="7"/>
      <c r="O4" s="7"/>
      <c r="P4" s="7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 spans="1:28" ht="20" customHeight="1" x14ac:dyDescent="0.25">
      <c r="A5" s="12"/>
      <c r="B5" s="12"/>
      <c r="C5" s="12"/>
      <c r="D5" s="9" t="s">
        <v>17</v>
      </c>
      <c r="E5" s="2" t="s">
        <v>21</v>
      </c>
      <c r="F5" s="2">
        <f>F2-F4</f>
        <v>15</v>
      </c>
      <c r="G5" s="2">
        <f>G2-G4</f>
        <v>-20</v>
      </c>
      <c r="H5" s="5">
        <f>H2-H4</f>
        <v>-1</v>
      </c>
      <c r="I5" s="4">
        <f>I2-I4</f>
        <v>-0.12820512820512819</v>
      </c>
      <c r="J5" s="2">
        <f>J2-J4</f>
        <v>-6813</v>
      </c>
      <c r="K5" s="5">
        <f>K2-K4</f>
        <v>1733</v>
      </c>
      <c r="L5" s="2">
        <f>L2-L4</f>
        <v>-8546</v>
      </c>
      <c r="M5" s="4">
        <f>M2-M4</f>
        <v>-262.03846153846149</v>
      </c>
      <c r="N5" s="9"/>
      <c r="O5" s="9"/>
      <c r="P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28" ht="20" customHeight="1" x14ac:dyDescent="0.25">
      <c r="A6" s="12"/>
      <c r="B6" s="12"/>
      <c r="C6" s="12"/>
      <c r="D6" s="9" t="s">
        <v>18</v>
      </c>
      <c r="E6" s="2" t="s">
        <v>21</v>
      </c>
      <c r="F6" s="13">
        <f>F3-F4</f>
        <v>2</v>
      </c>
      <c r="G6" s="13">
        <f>G3-G4</f>
        <v>-13</v>
      </c>
      <c r="H6" s="15">
        <f>H3-H4</f>
        <v>-1</v>
      </c>
      <c r="I6" s="16">
        <f>I3-I4</f>
        <v>-0.35897435897435903</v>
      </c>
      <c r="J6" s="13">
        <f>J3-J4</f>
        <v>-9123</v>
      </c>
      <c r="K6" s="15">
        <f>K3-K4</f>
        <v>-736</v>
      </c>
      <c r="L6" s="13">
        <f>L3-L4</f>
        <v>-8387</v>
      </c>
      <c r="M6" s="16">
        <f>M3-M4</f>
        <v>-350.88461538461536</v>
      </c>
      <c r="N6" s="6"/>
      <c r="O6" s="6"/>
      <c r="P6" s="6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spans="1:28" ht="20" customHeight="1" x14ac:dyDescent="0.25">
      <c r="A7" s="12"/>
      <c r="B7" s="12"/>
      <c r="C7" s="12"/>
      <c r="D7" s="9" t="s">
        <v>19</v>
      </c>
      <c r="E7" s="2" t="s">
        <v>21</v>
      </c>
      <c r="F7" s="14">
        <f>F2-F3</f>
        <v>13</v>
      </c>
      <c r="G7" s="14">
        <f>G2-G3</f>
        <v>-7</v>
      </c>
      <c r="H7" s="17">
        <f>H2-H3</f>
        <v>0</v>
      </c>
      <c r="I7" s="18">
        <f>I2-I3</f>
        <v>0.23076923076923084</v>
      </c>
      <c r="J7" s="14">
        <f>J2-J3</f>
        <v>2310</v>
      </c>
      <c r="K7" s="17">
        <f>K2-K3</f>
        <v>2469</v>
      </c>
      <c r="L7" s="14">
        <f>L2-L3</f>
        <v>-159</v>
      </c>
      <c r="M7" s="18">
        <f>M2-M3</f>
        <v>88.846153846153868</v>
      </c>
      <c r="N7" s="6"/>
      <c r="O7" s="6"/>
      <c r="P7" s="6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28" ht="20" customHeight="1" x14ac:dyDescent="0.25">
      <c r="A8" s="12"/>
      <c r="B8" s="12"/>
      <c r="C8" s="12"/>
      <c r="D8" s="9" t="s">
        <v>20</v>
      </c>
      <c r="E8" s="2" t="s">
        <v>21</v>
      </c>
      <c r="F8" s="19">
        <f>F2+F3-F4</f>
        <v>29</v>
      </c>
      <c r="G8" s="19">
        <f>G2+G3-G4</f>
        <v>0</v>
      </c>
      <c r="H8" s="21">
        <f>H2+H3-H4</f>
        <v>25</v>
      </c>
      <c r="I8" s="20">
        <f>I2+I3-I4</f>
        <v>1.1794871794871795</v>
      </c>
      <c r="J8" s="19">
        <f>J2+J3-J4</f>
        <v>3183</v>
      </c>
      <c r="K8" s="21">
        <f>K2+K3-K4</f>
        <v>16297</v>
      </c>
      <c r="L8" s="19">
        <f>L2+L3-L4</f>
        <v>-13114</v>
      </c>
      <c r="M8" s="20">
        <f>M2+M3-M4</f>
        <v>122.42307692307691</v>
      </c>
      <c r="N8" s="7"/>
      <c r="O8" s="7"/>
      <c r="P8" s="7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spans="1:28" ht="39.950000000000003" customHeight="1" x14ac:dyDescent="0.25">
      <c r="A9" s="12" t="s">
        <v>1</v>
      </c>
      <c r="B9" s="12"/>
      <c r="C9" s="12"/>
      <c r="D9" s="1" t="s">
        <v>0</v>
      </c>
      <c r="E9" s="1" t="s">
        <v>10</v>
      </c>
      <c r="F9" s="1" t="s">
        <v>3</v>
      </c>
      <c r="G9" s="1" t="s">
        <v>4</v>
      </c>
      <c r="H9" s="1" t="s">
        <v>8</v>
      </c>
      <c r="I9" s="1" t="s">
        <v>9</v>
      </c>
      <c r="J9" s="1" t="s">
        <v>5</v>
      </c>
      <c r="K9" s="1" t="s">
        <v>6</v>
      </c>
      <c r="L9" s="1" t="s">
        <v>7</v>
      </c>
      <c r="M9" s="1" t="s">
        <v>11</v>
      </c>
      <c r="N9" s="1"/>
      <c r="O9" s="1"/>
      <c r="P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20" customHeight="1" x14ac:dyDescent="0.25">
      <c r="A10" s="12" t="s">
        <v>13</v>
      </c>
      <c r="B10" s="12"/>
      <c r="C10" s="12"/>
      <c r="D10" s="11" t="s">
        <v>2</v>
      </c>
      <c r="E10" s="11">
        <v>40</v>
      </c>
      <c r="F10" s="11">
        <v>12</v>
      </c>
      <c r="G10" s="11">
        <v>61</v>
      </c>
      <c r="H10" s="11">
        <v>39</v>
      </c>
      <c r="I10" s="3">
        <f>(F10+G10)/H10</f>
        <v>1.8717948717948718</v>
      </c>
      <c r="J10" s="11">
        <v>17165</v>
      </c>
      <c r="K10" s="11">
        <v>16406</v>
      </c>
      <c r="L10" s="11">
        <f>J10-K10</f>
        <v>759</v>
      </c>
      <c r="M10" s="8">
        <f t="shared" ref="M10" si="3">J10/E10</f>
        <v>429.125</v>
      </c>
      <c r="N10" s="6"/>
      <c r="O10" s="6"/>
      <c r="P10" s="6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20" customHeight="1" x14ac:dyDescent="0.25">
      <c r="A11" s="12"/>
      <c r="B11" s="12"/>
      <c r="C11" s="12"/>
      <c r="D11" s="11" t="s">
        <v>15</v>
      </c>
      <c r="E11" s="1">
        <v>40</v>
      </c>
      <c r="F11" s="1">
        <v>33</v>
      </c>
      <c r="G11" s="1">
        <v>25</v>
      </c>
      <c r="H11" s="1">
        <v>38</v>
      </c>
      <c r="I11" s="3">
        <f>(F11+G11)/H11</f>
        <v>1.5263157894736843</v>
      </c>
      <c r="J11" s="1">
        <v>17609</v>
      </c>
      <c r="K11" s="1">
        <v>21520</v>
      </c>
      <c r="L11" s="1">
        <f>J11-K11</f>
        <v>-3911</v>
      </c>
      <c r="M11" s="8">
        <f t="shared" ref="M10:M12" si="4">J11/E11</f>
        <v>440.22500000000002</v>
      </c>
      <c r="N11" s="6"/>
      <c r="O11" s="6"/>
      <c r="P11" s="6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20" customHeight="1" x14ac:dyDescent="0.25">
      <c r="A12" s="12"/>
      <c r="B12" s="12"/>
      <c r="C12" s="12"/>
      <c r="D12" s="11" t="s">
        <v>16</v>
      </c>
      <c r="E12" s="11">
        <v>34</v>
      </c>
      <c r="F12" s="11">
        <v>58</v>
      </c>
      <c r="G12" s="11">
        <v>28</v>
      </c>
      <c r="H12" s="11">
        <v>34</v>
      </c>
      <c r="I12" s="3">
        <f>(F12+G12)/H12</f>
        <v>2.5294117647058822</v>
      </c>
      <c r="J12" s="11">
        <v>28963</v>
      </c>
      <c r="K12" s="11">
        <v>22824</v>
      </c>
      <c r="L12" s="11">
        <f>J12-K12</f>
        <v>6139</v>
      </c>
      <c r="M12" s="8">
        <f t="shared" si="4"/>
        <v>851.85294117647061</v>
      </c>
      <c r="N12" s="7"/>
      <c r="O12" s="7"/>
      <c r="P12" s="7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20" customHeight="1" x14ac:dyDescent="0.25">
      <c r="A13" s="12"/>
      <c r="B13" s="12"/>
      <c r="C13" s="12"/>
      <c r="D13" s="11" t="s">
        <v>17</v>
      </c>
      <c r="E13" s="2" t="s">
        <v>21</v>
      </c>
      <c r="F13" s="2">
        <f>F10-F12</f>
        <v>-46</v>
      </c>
      <c r="G13" s="2">
        <f>G10-G12</f>
        <v>33</v>
      </c>
      <c r="H13" s="5">
        <f>H10-H12</f>
        <v>5</v>
      </c>
      <c r="I13" s="4">
        <f>I10-I12</f>
        <v>-0.65761689291101044</v>
      </c>
      <c r="J13" s="2">
        <f>J10-J12</f>
        <v>-11798</v>
      </c>
      <c r="K13" s="5">
        <f>K10-K12</f>
        <v>-6418</v>
      </c>
      <c r="L13" s="2">
        <f>L10-L12</f>
        <v>-5380</v>
      </c>
      <c r="M13" s="4">
        <f>M10-M12</f>
        <v>-422.72794117647061</v>
      </c>
      <c r="N13" s="11"/>
      <c r="O13" s="11"/>
      <c r="P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 spans="1:28" ht="20" customHeight="1" x14ac:dyDescent="0.25">
      <c r="A14" s="12"/>
      <c r="B14" s="12"/>
      <c r="C14" s="12"/>
      <c r="D14" s="11" t="s">
        <v>18</v>
      </c>
      <c r="E14" s="2" t="s">
        <v>21</v>
      </c>
      <c r="F14" s="13">
        <f>F11-F12</f>
        <v>-25</v>
      </c>
      <c r="G14" s="13">
        <f>G11-G12</f>
        <v>-3</v>
      </c>
      <c r="H14" s="15">
        <f>H11-H12</f>
        <v>4</v>
      </c>
      <c r="I14" s="16">
        <f>I11-I12</f>
        <v>-1.003095975232198</v>
      </c>
      <c r="J14" s="13">
        <f>J11-J12</f>
        <v>-11354</v>
      </c>
      <c r="K14" s="15">
        <f>K11-K12</f>
        <v>-1304</v>
      </c>
      <c r="L14" s="13">
        <f>L11-L12</f>
        <v>-10050</v>
      </c>
      <c r="M14" s="16">
        <f>M11-M12</f>
        <v>-411.62794117647059</v>
      </c>
      <c r="N14" s="6"/>
      <c r="O14" s="6"/>
      <c r="P14" s="6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28" ht="20" customHeight="1" x14ac:dyDescent="0.25">
      <c r="A15" s="12"/>
      <c r="B15" s="12"/>
      <c r="C15" s="12"/>
      <c r="D15" s="11" t="s">
        <v>19</v>
      </c>
      <c r="E15" s="2" t="s">
        <v>21</v>
      </c>
      <c r="F15" s="14">
        <f>F10-F11</f>
        <v>-21</v>
      </c>
      <c r="G15" s="14">
        <f>G10-G11</f>
        <v>36</v>
      </c>
      <c r="H15" s="17">
        <f>H10-H11</f>
        <v>1</v>
      </c>
      <c r="I15" s="18">
        <f>I10-I11</f>
        <v>0.34547908232118751</v>
      </c>
      <c r="J15" s="14">
        <f>J10-J11</f>
        <v>-444</v>
      </c>
      <c r="K15" s="17">
        <f>K10-K11</f>
        <v>-5114</v>
      </c>
      <c r="L15" s="14">
        <f>L10-L11</f>
        <v>4670</v>
      </c>
      <c r="M15" s="18">
        <f>M10-M11</f>
        <v>-11.100000000000023</v>
      </c>
      <c r="N15" s="6"/>
      <c r="O15" s="6"/>
      <c r="P15" s="6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28" ht="20" customHeight="1" x14ac:dyDescent="0.25">
      <c r="A16" s="12"/>
      <c r="B16" s="12"/>
      <c r="C16" s="12"/>
      <c r="D16" s="11" t="s">
        <v>20</v>
      </c>
      <c r="E16" s="2" t="s">
        <v>21</v>
      </c>
      <c r="F16" s="19">
        <f>F10+F11-F12</f>
        <v>-13</v>
      </c>
      <c r="G16" s="19">
        <f>G10+G11-G12</f>
        <v>58</v>
      </c>
      <c r="H16" s="21">
        <f>H10+H11-H12</f>
        <v>43</v>
      </c>
      <c r="I16" s="20">
        <f>I10+I11-I12</f>
        <v>0.86869889656267407</v>
      </c>
      <c r="J16" s="19">
        <f>J10+J11-J12</f>
        <v>5811</v>
      </c>
      <c r="K16" s="21">
        <f>K10+K11-K12</f>
        <v>15102</v>
      </c>
      <c r="L16" s="19">
        <f>L10+L11-L12</f>
        <v>-9291</v>
      </c>
      <c r="M16" s="20">
        <f>M10+M11-M12</f>
        <v>17.497058823529414</v>
      </c>
      <c r="N16" s="7"/>
      <c r="O16" s="7"/>
      <c r="P16" s="7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28" ht="39.950000000000003" customHeight="1" x14ac:dyDescent="0.25">
      <c r="A17" s="12" t="s">
        <v>1</v>
      </c>
      <c r="B17" s="12"/>
      <c r="C17" s="12"/>
      <c r="D17" s="9" t="s">
        <v>0</v>
      </c>
      <c r="E17" s="9" t="s">
        <v>10</v>
      </c>
      <c r="F17" s="9" t="s">
        <v>3</v>
      </c>
      <c r="G17" s="9" t="s">
        <v>4</v>
      </c>
      <c r="H17" s="9" t="s">
        <v>8</v>
      </c>
      <c r="I17" s="9" t="s">
        <v>9</v>
      </c>
      <c r="J17" s="9" t="s">
        <v>5</v>
      </c>
      <c r="K17" s="9" t="s">
        <v>6</v>
      </c>
      <c r="L17" s="9" t="s">
        <v>7</v>
      </c>
      <c r="M17" s="9" t="s">
        <v>11</v>
      </c>
      <c r="N17" s="9"/>
      <c r="O17" s="9"/>
      <c r="P17" s="9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20" customHeight="1" x14ac:dyDescent="0.25">
      <c r="A18" s="12" t="s">
        <v>14</v>
      </c>
      <c r="B18" s="12"/>
      <c r="C18" s="12"/>
      <c r="D18" s="11" t="s">
        <v>2</v>
      </c>
      <c r="E18" s="11">
        <v>41</v>
      </c>
      <c r="F18" s="11">
        <v>38</v>
      </c>
      <c r="G18" s="11">
        <v>43</v>
      </c>
      <c r="H18" s="11">
        <v>41</v>
      </c>
      <c r="I18" s="3">
        <f t="shared" ref="I18" si="5">(F18+G18)/H18</f>
        <v>1.975609756097561</v>
      </c>
      <c r="J18" s="11">
        <v>23150</v>
      </c>
      <c r="K18" s="11">
        <v>24123</v>
      </c>
      <c r="L18" s="11">
        <f t="shared" ref="L18" si="6">J18-K18</f>
        <v>-973</v>
      </c>
      <c r="M18" s="8">
        <f t="shared" ref="M18" si="7">J18/E18</f>
        <v>564.63414634146341</v>
      </c>
      <c r="N18" s="6"/>
      <c r="O18" s="6"/>
      <c r="P18" s="6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20" customHeight="1" x14ac:dyDescent="0.25">
      <c r="A19" s="12"/>
      <c r="B19" s="12"/>
      <c r="C19" s="12"/>
      <c r="D19" s="11" t="s">
        <v>15</v>
      </c>
      <c r="E19" s="11">
        <v>40</v>
      </c>
      <c r="F19" s="11">
        <v>43</v>
      </c>
      <c r="G19" s="11">
        <v>45</v>
      </c>
      <c r="H19" s="11">
        <v>40</v>
      </c>
      <c r="I19" s="3">
        <f t="shared" ref="I18:I19" si="8">(F19+G19)/H19</f>
        <v>2.2000000000000002</v>
      </c>
      <c r="J19" s="11">
        <v>21140</v>
      </c>
      <c r="K19" s="11">
        <v>22313</v>
      </c>
      <c r="L19" s="11">
        <f t="shared" ref="L18:L19" si="9">J19-K19</f>
        <v>-1173</v>
      </c>
      <c r="M19" s="8">
        <f t="shared" ref="M18:M20" si="10">J19/E19</f>
        <v>528.5</v>
      </c>
      <c r="N19" s="6"/>
      <c r="O19" s="6"/>
      <c r="P19" s="6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20" customHeight="1" x14ac:dyDescent="0.25">
      <c r="A20" s="12"/>
      <c r="B20" s="12"/>
      <c r="C20" s="12"/>
      <c r="D20" s="11" t="s">
        <v>16</v>
      </c>
      <c r="E20" s="11">
        <v>41</v>
      </c>
      <c r="F20" s="11">
        <v>65</v>
      </c>
      <c r="G20" s="11">
        <v>56</v>
      </c>
      <c r="H20" s="11">
        <v>41</v>
      </c>
      <c r="I20" s="3">
        <f>(F20+G20)/H20</f>
        <v>2.9512195121951219</v>
      </c>
      <c r="J20" s="11">
        <v>42943</v>
      </c>
      <c r="K20" s="11">
        <v>29415</v>
      </c>
      <c r="L20" s="11">
        <f>J20-K20</f>
        <v>13528</v>
      </c>
      <c r="M20" s="8">
        <f t="shared" si="10"/>
        <v>1047.3902439024391</v>
      </c>
      <c r="N20" s="7"/>
      <c r="O20" s="7"/>
      <c r="P20" s="7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20" customHeight="1" x14ac:dyDescent="0.25">
      <c r="A21" s="12"/>
      <c r="B21" s="12"/>
      <c r="C21" s="12"/>
      <c r="D21" s="11" t="s">
        <v>17</v>
      </c>
      <c r="E21" s="2" t="s">
        <v>21</v>
      </c>
      <c r="F21" s="2">
        <f>F18-F20</f>
        <v>-27</v>
      </c>
      <c r="G21" s="2">
        <f>G18-G20</f>
        <v>-13</v>
      </c>
      <c r="H21" s="5">
        <f>H18-H20</f>
        <v>0</v>
      </c>
      <c r="I21" s="4">
        <f>I18-I20</f>
        <v>-0.97560975609756095</v>
      </c>
      <c r="J21" s="2">
        <f>J18-J20</f>
        <v>-19793</v>
      </c>
      <c r="K21" s="5">
        <f>K18-K20</f>
        <v>-5292</v>
      </c>
      <c r="L21" s="2">
        <f>L18-L20</f>
        <v>-14501</v>
      </c>
      <c r="M21" s="4">
        <f>M18-M20</f>
        <v>-482.75609756097572</v>
      </c>
      <c r="N21" s="11"/>
      <c r="O21" s="11"/>
      <c r="P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 spans="1:28" ht="20" customHeight="1" x14ac:dyDescent="0.25">
      <c r="A22" s="12"/>
      <c r="B22" s="12"/>
      <c r="C22" s="12"/>
      <c r="D22" s="11" t="s">
        <v>18</v>
      </c>
      <c r="E22" s="2" t="s">
        <v>21</v>
      </c>
      <c r="F22" s="13">
        <f>F19-F20</f>
        <v>-22</v>
      </c>
      <c r="G22" s="13">
        <f>G19-G20</f>
        <v>-11</v>
      </c>
      <c r="H22" s="15">
        <f>H19-H20</f>
        <v>-1</v>
      </c>
      <c r="I22" s="16">
        <f>I19-I20</f>
        <v>-0.75121951219512173</v>
      </c>
      <c r="J22" s="13">
        <f>J19-J20</f>
        <v>-21803</v>
      </c>
      <c r="K22" s="15">
        <f>K19-K20</f>
        <v>-7102</v>
      </c>
      <c r="L22" s="13">
        <f>L19-L20</f>
        <v>-14701</v>
      </c>
      <c r="M22" s="16">
        <f>M19-M20</f>
        <v>-518.89024390243912</v>
      </c>
      <c r="N22" s="6"/>
      <c r="O22" s="6"/>
      <c r="P22" s="6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spans="1:28" ht="20" customHeight="1" x14ac:dyDescent="0.25">
      <c r="A23" s="12"/>
      <c r="B23" s="12"/>
      <c r="C23" s="12"/>
      <c r="D23" s="11" t="s">
        <v>19</v>
      </c>
      <c r="E23" s="2" t="s">
        <v>21</v>
      </c>
      <c r="F23" s="14">
        <f>F18-F19</f>
        <v>-5</v>
      </c>
      <c r="G23" s="14">
        <f>G18-G19</f>
        <v>-2</v>
      </c>
      <c r="H23" s="17">
        <f>H18-H19</f>
        <v>1</v>
      </c>
      <c r="I23" s="18">
        <f>I18-I19</f>
        <v>-0.22439024390243922</v>
      </c>
      <c r="J23" s="14">
        <f>J18-J19</f>
        <v>2010</v>
      </c>
      <c r="K23" s="17">
        <f>K18-K19</f>
        <v>1810</v>
      </c>
      <c r="L23" s="14">
        <f>L18-L19</f>
        <v>200</v>
      </c>
      <c r="M23" s="18">
        <f>M18-M19</f>
        <v>36.134146341463406</v>
      </c>
      <c r="N23" s="6"/>
      <c r="O23" s="6"/>
      <c r="P23" s="6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spans="1:28" ht="20" customHeight="1" x14ac:dyDescent="0.25">
      <c r="A24" s="12"/>
      <c r="B24" s="12"/>
      <c r="C24" s="12"/>
      <c r="D24" s="11" t="s">
        <v>20</v>
      </c>
      <c r="E24" s="2" t="s">
        <v>21</v>
      </c>
      <c r="F24" s="19">
        <f>F18+F19-F20</f>
        <v>16</v>
      </c>
      <c r="G24" s="19">
        <f>G18+G19-G20</f>
        <v>32</v>
      </c>
      <c r="H24" s="21">
        <f>H18+H19-H20</f>
        <v>40</v>
      </c>
      <c r="I24" s="20">
        <f>I18+I19-I20</f>
        <v>1.2243902439024392</v>
      </c>
      <c r="J24" s="19">
        <f>J18+J19-J20</f>
        <v>1347</v>
      </c>
      <c r="K24" s="21">
        <f>K18+K19-K20</f>
        <v>17021</v>
      </c>
      <c r="L24" s="19">
        <f>L18+L19-L20</f>
        <v>-15674</v>
      </c>
      <c r="M24" s="20">
        <f>M18+M19-M20</f>
        <v>45.743902439024168</v>
      </c>
      <c r="N24" s="7"/>
      <c r="O24" s="7"/>
      <c r="P24" s="7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spans="1:28" ht="39.950000000000003" customHeight="1" x14ac:dyDescent="0.25">
      <c r="A25" s="12"/>
      <c r="B25" s="12"/>
      <c r="C25" s="12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20" customHeight="1" x14ac:dyDescent="0.25">
      <c r="A26" s="12"/>
      <c r="B26" s="12"/>
      <c r="C26" s="12"/>
      <c r="D26" s="9"/>
      <c r="E26" s="1"/>
      <c r="F26" s="1"/>
      <c r="G26" s="1"/>
      <c r="H26" s="1"/>
      <c r="I26" s="3"/>
      <c r="J26" s="1"/>
      <c r="K26" s="1"/>
      <c r="L26" s="1"/>
      <c r="M26" s="8"/>
      <c r="N26" s="6"/>
      <c r="O26" s="6"/>
      <c r="P26" s="6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20" customHeight="1" x14ac:dyDescent="0.25">
      <c r="A27" s="12"/>
      <c r="B27" s="12"/>
      <c r="C27" s="12"/>
      <c r="D27" s="9"/>
      <c r="E27" s="1"/>
      <c r="F27" s="1"/>
      <c r="G27" s="1"/>
      <c r="H27" s="1"/>
      <c r="I27" s="3"/>
      <c r="J27" s="1"/>
      <c r="K27" s="1"/>
      <c r="L27" s="1"/>
      <c r="M27" s="8"/>
      <c r="N27" s="6"/>
      <c r="O27" s="6"/>
      <c r="P27" s="6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20" customHeight="1" x14ac:dyDescent="0.25">
      <c r="A28" s="12"/>
      <c r="B28" s="12"/>
      <c r="C28" s="12"/>
      <c r="D28" s="9"/>
      <c r="E28" s="2"/>
      <c r="F28" s="2"/>
      <c r="G28" s="2"/>
      <c r="H28" s="5"/>
      <c r="I28" s="4"/>
      <c r="J28" s="2"/>
      <c r="K28" s="5"/>
      <c r="L28" s="2"/>
      <c r="M28" s="4"/>
      <c r="N28" s="7"/>
      <c r="O28" s="7"/>
      <c r="P28" s="7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39.950000000000003" customHeight="1" x14ac:dyDescent="0.25">
      <c r="A29" s="12"/>
      <c r="B29" s="12"/>
      <c r="C29" s="12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spans="1:28" ht="20" customHeight="1" x14ac:dyDescent="0.25">
      <c r="A30" s="12"/>
      <c r="B30" s="12"/>
      <c r="C30" s="12"/>
      <c r="D30" s="9"/>
      <c r="E30" s="9"/>
      <c r="F30" s="9"/>
      <c r="G30" s="9"/>
      <c r="H30" s="9"/>
      <c r="I30" s="3"/>
      <c r="J30" s="9"/>
      <c r="K30" s="9"/>
      <c r="L30" s="9"/>
      <c r="M30" s="8"/>
      <c r="N30" s="6"/>
      <c r="O30" s="6"/>
      <c r="P30" s="6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spans="1:28" ht="20" customHeight="1" x14ac:dyDescent="0.25">
      <c r="A31" s="12"/>
      <c r="B31" s="12"/>
      <c r="C31" s="12"/>
      <c r="D31" s="9"/>
      <c r="E31" s="9"/>
      <c r="F31" s="9"/>
      <c r="G31" s="9"/>
      <c r="H31" s="9"/>
      <c r="I31" s="3"/>
      <c r="J31" s="9"/>
      <c r="K31" s="9"/>
      <c r="L31" s="9"/>
      <c r="M31" s="8"/>
      <c r="N31" s="6"/>
      <c r="O31" s="6"/>
      <c r="P31" s="6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spans="1:28" ht="20" customHeight="1" x14ac:dyDescent="0.25">
      <c r="A32" s="12"/>
      <c r="B32" s="12"/>
      <c r="C32" s="12"/>
      <c r="D32" s="9"/>
      <c r="E32" s="2"/>
      <c r="F32" s="2"/>
      <c r="G32" s="2"/>
      <c r="H32" s="5"/>
      <c r="I32" s="4"/>
      <c r="J32" s="2"/>
      <c r="K32" s="5"/>
      <c r="L32" s="2"/>
      <c r="M32" s="4"/>
      <c r="N32" s="7"/>
      <c r="O32" s="7"/>
      <c r="P32" s="7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spans="1:28" ht="20" customHeight="1" x14ac:dyDescent="0.25">
      <c r="A33" s="12"/>
      <c r="B33" s="12"/>
      <c r="C33" s="12"/>
      <c r="D33" s="9"/>
      <c r="E33" s="9"/>
      <c r="F33" s="9"/>
      <c r="G33" s="9"/>
      <c r="H33" s="9"/>
      <c r="I33" s="3"/>
      <c r="J33" s="9"/>
      <c r="K33" s="9"/>
      <c r="L33" s="9"/>
      <c r="M33" s="8"/>
      <c r="N33" s="6"/>
      <c r="O33" s="6"/>
      <c r="P33" s="6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spans="1:28" ht="20" customHeight="1" x14ac:dyDescent="0.25">
      <c r="A34" s="12"/>
      <c r="B34" s="12"/>
      <c r="C34" s="12"/>
      <c r="D34" s="9"/>
      <c r="E34" s="9"/>
      <c r="F34" s="9"/>
      <c r="G34" s="9"/>
      <c r="H34" s="9"/>
      <c r="I34" s="3"/>
      <c r="J34" s="9"/>
      <c r="K34" s="9"/>
      <c r="L34" s="9"/>
      <c r="M34" s="8"/>
      <c r="N34" s="6"/>
      <c r="O34" s="6"/>
      <c r="P34" s="6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spans="1:28" ht="20" customHeight="1" x14ac:dyDescent="0.25">
      <c r="A35" s="12"/>
      <c r="B35" s="12"/>
      <c r="C35" s="12"/>
      <c r="D35" s="9"/>
      <c r="E35" s="2"/>
      <c r="F35" s="2"/>
      <c r="G35" s="2"/>
      <c r="H35" s="5"/>
      <c r="I35" s="4"/>
      <c r="J35" s="2"/>
      <c r="K35" s="5"/>
      <c r="L35" s="2"/>
      <c r="M35" s="4"/>
      <c r="N35" s="7"/>
      <c r="O35" s="7"/>
      <c r="P35" s="7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spans="1:28" ht="39.950000000000003" customHeight="1" x14ac:dyDescent="0.25">
      <c r="A36" s="12"/>
      <c r="B36" s="12"/>
      <c r="C36" s="12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spans="1:28" ht="20" customHeight="1" x14ac:dyDescent="0.25">
      <c r="A37" s="12"/>
      <c r="B37" s="12"/>
      <c r="C37" s="12"/>
      <c r="D37" s="9"/>
      <c r="E37" s="9"/>
      <c r="F37" s="9"/>
      <c r="G37" s="9"/>
      <c r="H37" s="9"/>
      <c r="I37" s="3"/>
      <c r="J37" s="9"/>
      <c r="K37" s="9"/>
      <c r="L37" s="9"/>
      <c r="M37" s="8"/>
      <c r="N37" s="6"/>
      <c r="O37" s="6"/>
      <c r="P37" s="6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spans="1:28" ht="20" customHeight="1" x14ac:dyDescent="0.25">
      <c r="A38" s="12"/>
      <c r="B38" s="12"/>
      <c r="C38" s="12"/>
      <c r="D38" s="9"/>
      <c r="E38" s="9"/>
      <c r="F38" s="9"/>
      <c r="G38" s="9"/>
      <c r="H38" s="9"/>
      <c r="I38" s="3"/>
      <c r="J38" s="9"/>
      <c r="K38" s="9"/>
      <c r="L38" s="9"/>
      <c r="M38" s="8"/>
      <c r="N38" s="6"/>
      <c r="O38" s="6"/>
      <c r="P38" s="6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spans="1:28" ht="20" customHeight="1" x14ac:dyDescent="0.25">
      <c r="A39" s="12"/>
      <c r="B39" s="12"/>
      <c r="C39" s="12"/>
      <c r="D39" s="9"/>
      <c r="E39" s="2"/>
      <c r="F39" s="2"/>
      <c r="G39" s="2"/>
      <c r="H39" s="5"/>
      <c r="I39" s="4"/>
      <c r="J39" s="2"/>
      <c r="K39" s="5"/>
      <c r="L39" s="2"/>
      <c r="M39" s="4"/>
      <c r="N39" s="7"/>
      <c r="O39" s="7"/>
      <c r="P39" s="7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spans="1:28" ht="39.950000000000003" customHeight="1" x14ac:dyDescent="0.25">
      <c r="A40" s="12"/>
      <c r="B40" s="12"/>
      <c r="C40" s="12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 spans="1:28" ht="39.950000000000003" customHeight="1" x14ac:dyDescent="0.25">
      <c r="A41" s="10"/>
      <c r="B41" s="10"/>
      <c r="C41" s="10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spans="1:28" ht="20" customHeight="1" x14ac:dyDescent="0.25">
      <c r="A42" s="12"/>
      <c r="B42" s="12"/>
      <c r="C42" s="12"/>
      <c r="D42" s="9"/>
      <c r="E42" s="9"/>
      <c r="F42" s="9"/>
      <c r="G42" s="9"/>
      <c r="H42" s="9"/>
      <c r="I42" s="3"/>
      <c r="J42" s="9"/>
      <c r="K42" s="9"/>
      <c r="L42" s="9"/>
      <c r="M42" s="8"/>
      <c r="N42" s="6"/>
      <c r="O42" s="6"/>
      <c r="P42" s="6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spans="1:28" ht="20" customHeight="1" x14ac:dyDescent="0.25">
      <c r="A43" s="12"/>
      <c r="B43" s="12"/>
      <c r="C43" s="12"/>
      <c r="D43" s="9"/>
      <c r="E43" s="9"/>
      <c r="F43" s="9"/>
      <c r="G43" s="9"/>
      <c r="H43" s="9"/>
      <c r="I43" s="3"/>
      <c r="J43" s="9"/>
      <c r="K43" s="9"/>
      <c r="L43" s="9"/>
      <c r="M43" s="8"/>
      <c r="N43" s="6"/>
      <c r="O43" s="6"/>
      <c r="P43" s="6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spans="1:28" ht="20" customHeight="1" x14ac:dyDescent="0.25">
      <c r="A44" s="12"/>
      <c r="B44" s="12"/>
      <c r="C44" s="12"/>
      <c r="D44" s="9"/>
      <c r="E44" s="2"/>
      <c r="F44" s="2"/>
      <c r="G44" s="2"/>
      <c r="H44" s="5"/>
      <c r="I44" s="4"/>
      <c r="J44" s="2"/>
      <c r="K44" s="5"/>
      <c r="L44" s="2"/>
      <c r="M44" s="4"/>
      <c r="N44" s="7"/>
      <c r="O44" s="7"/>
      <c r="P44" s="7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spans="1:28" ht="39.950000000000003" customHeight="1" x14ac:dyDescent="0.25">
      <c r="A45" s="12"/>
      <c r="B45" s="12"/>
      <c r="C45" s="12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spans="1:28" ht="20" customHeight="1" x14ac:dyDescent="0.25">
      <c r="A46" s="12"/>
      <c r="B46" s="12"/>
      <c r="C46" s="12"/>
      <c r="D46" s="9"/>
      <c r="E46" s="9"/>
      <c r="F46" s="9"/>
      <c r="G46" s="9"/>
      <c r="H46" s="9"/>
      <c r="I46" s="3"/>
      <c r="J46" s="9"/>
      <c r="K46" s="9"/>
      <c r="L46" s="9"/>
      <c r="M46" s="8"/>
      <c r="N46" s="6"/>
      <c r="O46" s="6"/>
      <c r="P46" s="6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 spans="1:28" ht="20" customHeight="1" x14ac:dyDescent="0.25">
      <c r="A47" s="12"/>
      <c r="B47" s="12"/>
      <c r="C47" s="12"/>
      <c r="D47" s="9"/>
      <c r="E47" s="9"/>
      <c r="F47" s="9"/>
      <c r="G47" s="9"/>
      <c r="H47" s="9"/>
      <c r="I47" s="3"/>
      <c r="J47" s="9"/>
      <c r="K47" s="9"/>
      <c r="L47" s="9"/>
      <c r="M47" s="8"/>
      <c r="N47" s="6"/>
      <c r="O47" s="6"/>
      <c r="P47" s="6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 spans="1:28" ht="20" customHeight="1" x14ac:dyDescent="0.25">
      <c r="A48" s="12"/>
      <c r="B48" s="12"/>
      <c r="C48" s="12"/>
      <c r="D48" s="9"/>
      <c r="E48" s="2"/>
      <c r="F48" s="2"/>
      <c r="G48" s="2"/>
      <c r="H48" s="5"/>
      <c r="I48" s="4"/>
      <c r="J48" s="2"/>
      <c r="K48" s="5"/>
      <c r="L48" s="2"/>
      <c r="M48" s="4"/>
      <c r="N48" s="7"/>
      <c r="O48" s="7"/>
      <c r="P48" s="7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 spans="1:28" ht="39.950000000000003" customHeight="1" x14ac:dyDescent="0.25">
      <c r="A49" s="12"/>
      <c r="B49" s="12"/>
      <c r="C49" s="12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 spans="1:28" ht="20" customHeight="1" x14ac:dyDescent="0.25">
      <c r="A50" s="12"/>
      <c r="B50" s="12"/>
      <c r="C50" s="12"/>
      <c r="D50" s="1"/>
      <c r="E50" s="1"/>
      <c r="F50" s="1"/>
      <c r="G50" s="1"/>
      <c r="H50" s="1"/>
      <c r="I50" s="3"/>
      <c r="J50" s="1"/>
      <c r="K50" s="1"/>
      <c r="L50" s="1"/>
      <c r="M50" s="8"/>
      <c r="N50" s="6"/>
      <c r="O50" s="6"/>
      <c r="P50" s="6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20" customHeight="1" x14ac:dyDescent="0.25">
      <c r="A51" s="12"/>
      <c r="B51" s="12"/>
      <c r="C51" s="12"/>
      <c r="D51" s="1"/>
      <c r="E51" s="1"/>
      <c r="F51" s="1"/>
      <c r="G51" s="1"/>
      <c r="H51" s="1"/>
      <c r="I51" s="3"/>
      <c r="J51" s="1"/>
      <c r="K51" s="1"/>
      <c r="L51" s="1"/>
      <c r="M51" s="8"/>
      <c r="N51" s="6"/>
      <c r="O51" s="6"/>
      <c r="P51" s="6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20" customHeight="1" x14ac:dyDescent="0.25">
      <c r="A52" s="12"/>
      <c r="B52" s="12"/>
      <c r="C52" s="12"/>
      <c r="D52" s="1"/>
      <c r="E52" s="2"/>
      <c r="F52" s="2"/>
      <c r="G52" s="2"/>
      <c r="H52" s="5"/>
      <c r="I52" s="4"/>
      <c r="J52" s="2"/>
      <c r="K52" s="5"/>
      <c r="L52" s="2"/>
      <c r="M52" s="4"/>
      <c r="N52" s="7"/>
      <c r="O52" s="7"/>
      <c r="P52" s="7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39.950000000000003" customHeight="1" x14ac:dyDescent="0.25">
      <c r="A53" s="12"/>
      <c r="B53" s="12"/>
      <c r="C53" s="1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8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8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8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R58" s="1"/>
      <c r="S58" s="1"/>
      <c r="T58" s="1"/>
      <c r="U58" s="1"/>
      <c r="V58" s="1"/>
      <c r="W58" s="1"/>
      <c r="X58" s="1"/>
      <c r="Y58" s="1"/>
      <c r="Z58" s="1"/>
      <c r="AA58" s="1"/>
    </row>
  </sheetData>
  <mergeCells count="18">
    <mergeCell ref="A40:C40"/>
    <mergeCell ref="A26:C32"/>
    <mergeCell ref="A25:C25"/>
    <mergeCell ref="A33:C35"/>
    <mergeCell ref="A36:C36"/>
    <mergeCell ref="A37:C39"/>
    <mergeCell ref="A18:C24"/>
    <mergeCell ref="A1:C1"/>
    <mergeCell ref="A9:C9"/>
    <mergeCell ref="A17:C17"/>
    <mergeCell ref="A2:C8"/>
    <mergeCell ref="A10:C16"/>
    <mergeCell ref="A53:C53"/>
    <mergeCell ref="A50:C52"/>
    <mergeCell ref="A45:C45"/>
    <mergeCell ref="A49:C49"/>
    <mergeCell ref="A42:C44"/>
    <mergeCell ref="A46:C4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zenieth</dc:creator>
  <cp:lastModifiedBy>x l</cp:lastModifiedBy>
  <dcterms:created xsi:type="dcterms:W3CDTF">2015-06-05T18:19:34Z</dcterms:created>
  <dcterms:modified xsi:type="dcterms:W3CDTF">2026-03-29T13:24:58Z</dcterms:modified>
</cp:coreProperties>
</file>