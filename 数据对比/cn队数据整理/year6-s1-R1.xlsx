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best igl wiki\数据对比\cn队数据整理\"/>
    </mc:Choice>
  </mc:AlternateContent>
  <xr:revisionPtr revIDLastSave="0" documentId="13_ncr:1_{5243BC30-4F0B-4AD4-B869-CC00C3A40DFC}" xr6:coauthVersionLast="47" xr6:coauthVersionMax="47" xr10:uidLastSave="{00000000-0000-0000-0000-000000000000}"/>
  <bookViews>
    <workbookView xWindow="-31087" yWindow="-109" windowWidth="31196" windowHeight="18974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3" i="1" l="1"/>
  <c r="Q23" i="1" s="1"/>
  <c r="K20" i="1"/>
  <c r="Q22" i="1"/>
  <c r="Q21" i="1"/>
  <c r="Q20" i="1"/>
  <c r="P22" i="1"/>
  <c r="P21" i="1"/>
  <c r="P20" i="1"/>
  <c r="O23" i="1"/>
  <c r="O22" i="1"/>
  <c r="O21" i="1"/>
  <c r="O20" i="1"/>
  <c r="Q19" i="1"/>
  <c r="P19" i="1"/>
  <c r="O19" i="1"/>
  <c r="N23" i="1"/>
  <c r="N22" i="1"/>
  <c r="N21" i="1"/>
  <c r="N20" i="1"/>
  <c r="N19" i="1"/>
  <c r="K23" i="1"/>
  <c r="K22" i="1"/>
  <c r="K21" i="1"/>
  <c r="K19" i="1"/>
  <c r="M17" i="1" l="1"/>
  <c r="M16" i="1"/>
  <c r="M15" i="1"/>
  <c r="M14" i="1"/>
  <c r="M13" i="1"/>
  <c r="M12" i="1"/>
  <c r="M11" i="1"/>
  <c r="M10" i="1"/>
  <c r="M9" i="1"/>
  <c r="M8" i="1"/>
  <c r="M6" i="1"/>
  <c r="M5" i="1"/>
  <c r="M4" i="1"/>
  <c r="M3" i="1"/>
  <c r="M2" i="1"/>
  <c r="N17" i="1"/>
  <c r="N16" i="1"/>
  <c r="N15" i="1"/>
  <c r="N14" i="1"/>
  <c r="N13" i="1"/>
  <c r="N12" i="1"/>
  <c r="N11" i="1"/>
  <c r="N10" i="1"/>
  <c r="N9" i="1"/>
  <c r="N8" i="1"/>
  <c r="N6" i="1"/>
  <c r="N5" i="1"/>
  <c r="N4" i="1"/>
  <c r="N3" i="1"/>
  <c r="N2" i="1"/>
  <c r="J17" i="1"/>
  <c r="J16" i="1"/>
  <c r="J15" i="1"/>
  <c r="J14" i="1"/>
  <c r="J13" i="1"/>
  <c r="J12" i="1"/>
  <c r="J11" i="1"/>
  <c r="J10" i="1"/>
  <c r="J9" i="1"/>
  <c r="J8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<sst xmlns="http://schemas.openxmlformats.org/spreadsheetml/2006/main" count="65" uniqueCount="51">
  <si>
    <t>选手</t>
    <phoneticPr fontId="1" type="noConversion"/>
  </si>
  <si>
    <t>队伍排名</t>
    <phoneticPr fontId="1" type="noConversion"/>
  </si>
  <si>
    <t>kills</t>
    <phoneticPr fontId="1" type="noConversion"/>
  </si>
  <si>
    <t>Assists</t>
    <phoneticPr fontId="1" type="noConversion"/>
  </si>
  <si>
    <t>Dmg dealt</t>
    <phoneticPr fontId="1" type="noConversion"/>
  </si>
  <si>
    <t>Dmg taken</t>
    <phoneticPr fontId="1" type="noConversion"/>
  </si>
  <si>
    <t>Dmg diff</t>
    <phoneticPr fontId="1" type="noConversion"/>
  </si>
  <si>
    <t>T10 -&gt; T5 %</t>
    <phoneticPr fontId="1" type="noConversion"/>
  </si>
  <si>
    <t>Top 10 %</t>
    <phoneticPr fontId="1" type="noConversion"/>
  </si>
  <si>
    <t>T5 -&gt; T1 %</t>
    <phoneticPr fontId="1" type="noConversion"/>
  </si>
  <si>
    <t>Deaths</t>
    <phoneticPr fontId="1" type="noConversion"/>
  </si>
  <si>
    <t>KA/D</t>
    <phoneticPr fontId="1" type="noConversion"/>
  </si>
  <si>
    <t>Games</t>
    <phoneticPr fontId="1" type="noConversion"/>
  </si>
  <si>
    <t>Dmg dealt/Games</t>
    <phoneticPr fontId="1" type="noConversion"/>
  </si>
  <si>
    <t>Kassa (VKG)</t>
    <phoneticPr fontId="1" type="noConversion"/>
  </si>
  <si>
    <t>CrazyCong (Wolves)</t>
    <phoneticPr fontId="1" type="noConversion"/>
  </si>
  <si>
    <t>3mz (WBG)</t>
    <phoneticPr fontId="1" type="noConversion"/>
  </si>
  <si>
    <t>xd (PXX)</t>
    <phoneticPr fontId="1" type="noConversion"/>
  </si>
  <si>
    <t>Beiyun (EDG)</t>
    <phoneticPr fontId="1" type="noConversion"/>
  </si>
  <si>
    <t>IGL status</t>
    <phoneticPr fontId="1" type="noConversion"/>
  </si>
  <si>
    <t>tm status</t>
    <phoneticPr fontId="1" type="noConversion"/>
  </si>
  <si>
    <t>QQ (VKG)</t>
    <phoneticPr fontId="1" type="noConversion"/>
  </si>
  <si>
    <t>Noname (Wolves)</t>
    <phoneticPr fontId="1" type="noConversion"/>
  </si>
  <si>
    <t>bolin (WBG)</t>
    <phoneticPr fontId="1" type="noConversion"/>
  </si>
  <si>
    <t>分类</t>
    <phoneticPr fontId="1" type="noConversion"/>
  </si>
  <si>
    <t>JackieChan (PXX)</t>
    <phoneticPr fontId="1" type="noConversion"/>
  </si>
  <si>
    <t>Return (EDG)</t>
    <phoneticPr fontId="1" type="noConversion"/>
  </si>
  <si>
    <t>LqDuD (VKG)</t>
    <phoneticPr fontId="1" type="noConversion"/>
  </si>
  <si>
    <t>JR (WBG)</t>
    <phoneticPr fontId="1" type="noConversion"/>
  </si>
  <si>
    <t>WenXx (Wolves)</t>
    <phoneticPr fontId="1" type="noConversion"/>
  </si>
  <si>
    <t>Pite (PXX)</t>
    <phoneticPr fontId="1" type="noConversion"/>
  </si>
  <si>
    <t>Nirvana (EDG)</t>
    <phoneticPr fontId="1" type="noConversion"/>
  </si>
  <si>
    <t>队伍</t>
    <phoneticPr fontId="1" type="noConversion"/>
  </si>
  <si>
    <t>VKG</t>
    <phoneticPr fontId="1" type="noConversion"/>
  </si>
  <si>
    <t>Wolves</t>
    <phoneticPr fontId="1" type="noConversion"/>
  </si>
  <si>
    <t>WBG</t>
    <phoneticPr fontId="1" type="noConversion"/>
  </si>
  <si>
    <t>PXX</t>
    <phoneticPr fontId="1" type="noConversion"/>
  </si>
  <si>
    <t>EDG</t>
    <phoneticPr fontId="1" type="noConversion"/>
  </si>
  <si>
    <t>Assists</t>
  </si>
  <si>
    <t>Deaths</t>
  </si>
  <si>
    <t>KA/D</t>
  </si>
  <si>
    <t>Dmg dealt</t>
  </si>
  <si>
    <t>Dmg taken</t>
  </si>
  <si>
    <t>Dmg diff</t>
  </si>
  <si>
    <t>Top 10 %</t>
  </si>
  <si>
    <t>T5 %</t>
  </si>
  <si>
    <t>T1 %</t>
  </si>
  <si>
    <t>Team status
全部是单局均值</t>
    <phoneticPr fontId="1" type="noConversion"/>
  </si>
  <si>
    <t>Total Pts</t>
    <phoneticPr fontId="1" type="noConversion"/>
  </si>
  <si>
    <t>Place Pts</t>
    <phoneticPr fontId="1" type="noConversion"/>
  </si>
  <si>
    <t>Kills Pts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</si>
</sst>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76" formatCode="[Color10]0;[Red]\-0;0"/>
    <numFmt numFmtId="177" formatCode="0.00_);[Red]\(0.00\)"/>
    <numFmt numFmtId="178" formatCode="[Color10]0.00;[Red]\-0.00;0.00"/>
    <numFmt numFmtId="179" formatCode="[Red]0;[Color10]\-0;0"/>
    <numFmt numFmtId="180" formatCode="0.0%"/>
    <numFmt numFmtId="181" formatCode="[Color10]0.0%;[Red]\-0.0%;0.0%"/>
    <numFmt numFmtId="182" formatCode="0.00_ "/>
    <numFmt numFmtId="183" formatCode="[Color13][&gt;2.4]0.00;[Color3][&lt;1.2]0.00;[Color10]0.00"/>
    <numFmt numFmtId="184" formatCode="[Color13][&gt;650]0.00;[Color3][&lt;350]0.00;[Color10]0.00"/>
    <numFmt numFmtId="185" formatCode="[Color13][&gt;0.6]0.0%;[Color3][&lt;0.4]0.0%;[Color10]0.0%"/>
    <numFmt numFmtId="186" formatCode="[Color13][&gt;0.16]0.0%;[Color3][&lt;0.24]0.0%;[Color10]0.0%"/>
    <numFmt numFmtId="187" formatCode="[Color13][&lt;21]0;[Color3][&gt;30]0;[Color10]0"/>
    <numFmt numFmtId="188" formatCode="[Color13][&gt;600]0.00;[Color3][&lt;350]0.00;[Color10]0.00"/>
    <numFmt numFmtId="189" formatCode="[Color13][&lt;11]0;[Color3][&gt;20]0;[Color10]0"/>
    <numFmt numFmtId="190" formatCode="[Color13][&gt;0.24]0.0%;[Color3][&lt;0.16]0.0%;[Color10]0.0%"/>
    <numFmt numFmtId="191" formatCode="[Color13][&gt;0.06]0.0%;[Color3][&lt;0.04]0.0%;[Color10]0.0%"/>
    <numFmt numFmtId="192" formatCode="[Color13][&gt;0.3]0.0%;[Color3][&lt;0.2]0.0%;[Color10]0.0%"/>
    <numFmt numFmtId="193" formatCode="[Color13][&gt;1000]0.00;[Color3][&lt;600]0.00;[Color10]0.00"/>
    <numFmt numFmtId="194" formatCode="[Color13][&gt;2300]0.00;[Color3][&lt;1900]0.00;[Color10]0.00"/>
    <numFmt numFmtId="195" formatCode="[Color13][&gt;5.8]0.00;[Color3][&lt;4.7]0.00;[Color10]0.00"/>
    <numFmt numFmtId="196" formatCode="[Color13][&gt;3.1]0.00;[Color3][&lt;2]0.00;[Color10]0.00"/>
    <numFmt numFmtId="197" formatCode="[Color13][&gt;3.2]0.00;[Color3][&lt;2.1]0.00;[Color10]0.00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6" fontId="0" fillId="0" borderId="0" xfId="0" applyNumberFormat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189" fontId="0" fillId="0" borderId="0" xfId="0" applyNumberFormat="1" applyAlignment="1">
      <alignment horizontal="center" vertical="center"/>
    </xf>
    <xf numFmtId="190" fontId="0" fillId="0" borderId="0" xfId="0" applyNumberFormat="1" applyAlignment="1">
      <alignment horizontal="center" vertical="center"/>
    </xf>
    <xf numFmtId="191" fontId="0" fillId="0" borderId="0" xfId="0" applyNumberFormat="1" applyAlignment="1">
      <alignment horizontal="center" vertical="center"/>
    </xf>
    <xf numFmtId="192" fontId="0" fillId="0" borderId="0" xfId="0" applyNumberFormat="1" applyAlignment="1">
      <alignment horizontal="center" vertical="center"/>
    </xf>
    <xf numFmtId="193" fontId="0" fillId="0" borderId="0" xfId="0" applyNumberFormat="1" applyAlignment="1">
      <alignment horizontal="center" vertical="center"/>
    </xf>
    <xf numFmtId="194" fontId="0" fillId="0" borderId="0" xfId="0" applyNumberFormat="1" applyAlignment="1">
      <alignment horizontal="center" vertical="center"/>
    </xf>
    <xf numFmtId="195" fontId="0" fillId="0" borderId="0" xfId="0" applyNumberFormat="1" applyAlignment="1">
      <alignment horizontal="center" vertical="center"/>
    </xf>
    <xf numFmtId="196" fontId="0" fillId="0" borderId="0" xfId="0" applyNumberFormat="1" applyAlignment="1">
      <alignment horizontal="center" vertical="center"/>
    </xf>
    <xf numFmtId="19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75"/>
  <sheetViews>
    <sheetView tabSelected="1" zoomScaleNormal="100" workbookViewId="0">
      <selection activeCell="L13" sqref="L13"/>
    </sheetView>
  </sheetViews>
  <sheetFormatPr defaultRowHeight="13.95" x14ac:dyDescent="0.25"/>
  <cols>
    <col min="4" max="4" width="18.6640625" customWidth="1"/>
    <col min="5" max="13" width="12.77734375" customWidth="1"/>
    <col min="14" max="14" width="17.33203125" customWidth="1"/>
    <col min="15" max="20" width="12.77734375" customWidth="1"/>
  </cols>
  <sheetData>
    <row r="1" spans="1:28" ht="39.950000000000003" customHeight="1" x14ac:dyDescent="0.25">
      <c r="A1" s="28" t="s">
        <v>24</v>
      </c>
      <c r="B1" s="28"/>
      <c r="C1" s="28"/>
      <c r="D1" s="9" t="s">
        <v>0</v>
      </c>
      <c r="E1" s="9" t="s">
        <v>1</v>
      </c>
      <c r="F1" s="9" t="s">
        <v>12</v>
      </c>
      <c r="G1" s="9" t="s">
        <v>2</v>
      </c>
      <c r="H1" s="9" t="s">
        <v>3</v>
      </c>
      <c r="I1" s="9" t="s">
        <v>10</v>
      </c>
      <c r="J1" s="9" t="s">
        <v>11</v>
      </c>
      <c r="K1" s="9" t="s">
        <v>4</v>
      </c>
      <c r="L1" s="9" t="s">
        <v>5</v>
      </c>
      <c r="M1" s="9" t="s">
        <v>6</v>
      </c>
      <c r="N1" s="9" t="s">
        <v>13</v>
      </c>
      <c r="O1" s="9" t="s">
        <v>8</v>
      </c>
      <c r="P1" s="9" t="s">
        <v>7</v>
      </c>
      <c r="Q1" s="9" t="s">
        <v>9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0" customHeight="1" x14ac:dyDescent="0.25">
      <c r="A2" s="28" t="s">
        <v>19</v>
      </c>
      <c r="B2" s="28"/>
      <c r="C2" s="28"/>
      <c r="D2" s="9" t="s">
        <v>14</v>
      </c>
      <c r="E2" s="19">
        <v>1</v>
      </c>
      <c r="F2" s="10">
        <v>12</v>
      </c>
      <c r="G2" s="10">
        <v>13</v>
      </c>
      <c r="H2" s="10">
        <v>28</v>
      </c>
      <c r="I2" s="10">
        <v>10</v>
      </c>
      <c r="J2" s="13">
        <f>(G2+H2)/I2</f>
        <v>4.0999999999999996</v>
      </c>
      <c r="K2" s="10">
        <v>9665</v>
      </c>
      <c r="L2" s="10">
        <v>9631</v>
      </c>
      <c r="M2" s="10">
        <f>K2-L2</f>
        <v>34</v>
      </c>
      <c r="N2" s="18">
        <f>K2/F2</f>
        <v>805.41666666666663</v>
      </c>
      <c r="O2" s="15">
        <v>0.75</v>
      </c>
      <c r="P2" s="15">
        <v>0.88900000000000001</v>
      </c>
      <c r="Q2" s="20">
        <v>0.25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20" customHeight="1" x14ac:dyDescent="0.25">
      <c r="A3" s="28"/>
      <c r="B3" s="28"/>
      <c r="C3" s="28"/>
      <c r="D3" s="9" t="s">
        <v>15</v>
      </c>
      <c r="E3" s="19">
        <v>2</v>
      </c>
      <c r="F3" s="12">
        <v>12</v>
      </c>
      <c r="G3" s="9">
        <v>18</v>
      </c>
      <c r="H3" s="9">
        <v>12</v>
      </c>
      <c r="I3" s="9">
        <v>13</v>
      </c>
      <c r="J3" s="13">
        <f t="shared" ref="J3:J6" si="0">(G3+H3)/I3</f>
        <v>2.3076923076923075</v>
      </c>
      <c r="K3" s="9">
        <v>10948</v>
      </c>
      <c r="L3" s="9">
        <v>8385</v>
      </c>
      <c r="M3" s="12">
        <f t="shared" ref="M3:M6" si="1">K3-L3</f>
        <v>2563</v>
      </c>
      <c r="N3" s="18">
        <f t="shared" ref="N3:N6" si="2">K3/F3</f>
        <v>912.33333333333337</v>
      </c>
      <c r="O3" s="15">
        <v>0.75</v>
      </c>
      <c r="P3" s="15">
        <v>0.66700000000000004</v>
      </c>
      <c r="Q3" s="20">
        <v>0.16700000000000001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20" customHeight="1" x14ac:dyDescent="0.25">
      <c r="A4" s="28"/>
      <c r="B4" s="28"/>
      <c r="C4" s="28"/>
      <c r="D4" s="9" t="s">
        <v>16</v>
      </c>
      <c r="E4" s="19">
        <v>19</v>
      </c>
      <c r="F4" s="12">
        <v>12</v>
      </c>
      <c r="G4" s="12">
        <v>8</v>
      </c>
      <c r="H4" s="12">
        <v>16</v>
      </c>
      <c r="I4" s="12">
        <v>13</v>
      </c>
      <c r="J4" s="13">
        <f t="shared" si="0"/>
        <v>1.8461538461538463</v>
      </c>
      <c r="K4" s="12">
        <v>6417</v>
      </c>
      <c r="L4" s="12">
        <v>7922</v>
      </c>
      <c r="M4" s="12">
        <f t="shared" si="1"/>
        <v>-1505</v>
      </c>
      <c r="N4" s="18">
        <f t="shared" si="2"/>
        <v>534.75</v>
      </c>
      <c r="O4" s="15">
        <v>0.33300000000000002</v>
      </c>
      <c r="P4" s="15">
        <v>0.25</v>
      </c>
      <c r="Q4" s="20">
        <v>0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20" customHeight="1" x14ac:dyDescent="0.25">
      <c r="A5" s="28"/>
      <c r="B5" s="28"/>
      <c r="C5" s="28"/>
      <c r="D5" s="11" t="s">
        <v>17</v>
      </c>
      <c r="E5" s="19">
        <v>4</v>
      </c>
      <c r="F5" s="12">
        <v>12</v>
      </c>
      <c r="G5" s="11">
        <v>14</v>
      </c>
      <c r="H5" s="11">
        <v>23</v>
      </c>
      <c r="I5" s="11">
        <v>10</v>
      </c>
      <c r="J5" s="13">
        <f t="shared" si="0"/>
        <v>3.7</v>
      </c>
      <c r="K5" s="11">
        <v>8909</v>
      </c>
      <c r="L5" s="11">
        <v>7565</v>
      </c>
      <c r="M5" s="12">
        <f t="shared" si="1"/>
        <v>1344</v>
      </c>
      <c r="N5" s="18">
        <f t="shared" si="2"/>
        <v>742.41666666666663</v>
      </c>
      <c r="O5" s="15">
        <v>0.66700000000000004</v>
      </c>
      <c r="P5" s="15">
        <v>0.625</v>
      </c>
      <c r="Q5" s="20">
        <v>0.4</v>
      </c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20" customHeight="1" x14ac:dyDescent="0.25">
      <c r="A6" s="28"/>
      <c r="B6" s="28"/>
      <c r="C6" s="28"/>
      <c r="D6" s="11" t="s">
        <v>18</v>
      </c>
      <c r="E6" s="19">
        <v>22</v>
      </c>
      <c r="F6" s="12">
        <v>12</v>
      </c>
      <c r="G6" s="12">
        <v>6</v>
      </c>
      <c r="H6" s="12">
        <v>10</v>
      </c>
      <c r="I6" s="12">
        <v>14</v>
      </c>
      <c r="J6" s="13">
        <f t="shared" si="0"/>
        <v>1.1428571428571428</v>
      </c>
      <c r="K6" s="12">
        <v>5941</v>
      </c>
      <c r="L6" s="12">
        <v>9982</v>
      </c>
      <c r="M6" s="12">
        <f t="shared" si="1"/>
        <v>-4041</v>
      </c>
      <c r="N6" s="18">
        <f t="shared" si="2"/>
        <v>495.08333333333331</v>
      </c>
      <c r="O6" s="15">
        <v>0.66700000000000004</v>
      </c>
      <c r="P6" s="15">
        <v>0.375</v>
      </c>
      <c r="Q6" s="20">
        <v>0</v>
      </c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39.950000000000003" customHeight="1" x14ac:dyDescent="0.25">
      <c r="A7" s="28" t="s">
        <v>24</v>
      </c>
      <c r="B7" s="28"/>
      <c r="C7" s="28"/>
      <c r="D7" s="12" t="s">
        <v>0</v>
      </c>
      <c r="E7" s="12" t="s">
        <v>1</v>
      </c>
      <c r="F7" s="12" t="s">
        <v>12</v>
      </c>
      <c r="G7" s="12" t="s">
        <v>2</v>
      </c>
      <c r="H7" s="12" t="s">
        <v>3</v>
      </c>
      <c r="I7" s="12" t="s">
        <v>10</v>
      </c>
      <c r="J7" s="12" t="s">
        <v>11</v>
      </c>
      <c r="K7" s="12" t="s">
        <v>4</v>
      </c>
      <c r="L7" s="12" t="s">
        <v>5</v>
      </c>
      <c r="M7" s="12" t="s">
        <v>6</v>
      </c>
      <c r="N7" s="12" t="s">
        <v>13</v>
      </c>
      <c r="O7" s="12"/>
      <c r="P7" s="12"/>
      <c r="Q7" s="20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</row>
    <row r="8" spans="1:28" ht="20" customHeight="1" x14ac:dyDescent="0.25">
      <c r="A8" s="28" t="s">
        <v>20</v>
      </c>
      <c r="B8" s="28"/>
      <c r="C8" s="28"/>
      <c r="D8" s="12" t="s">
        <v>21</v>
      </c>
      <c r="E8" s="19">
        <v>1</v>
      </c>
      <c r="F8" s="12">
        <v>12</v>
      </c>
      <c r="G8" s="12">
        <v>26</v>
      </c>
      <c r="H8" s="12">
        <v>24</v>
      </c>
      <c r="I8" s="12">
        <v>11</v>
      </c>
      <c r="J8" s="13">
        <f t="shared" ref="J8:J17" si="3">(G8+H8)/I8</f>
        <v>4.5454545454545459</v>
      </c>
      <c r="K8" s="12">
        <v>14334</v>
      </c>
      <c r="L8" s="12">
        <v>11682</v>
      </c>
      <c r="M8" s="12">
        <f t="shared" ref="M8:M17" si="4">K8-L8</f>
        <v>2652</v>
      </c>
      <c r="N8" s="23">
        <f t="shared" ref="N8:N17" si="5">K8/F8</f>
        <v>1194.5</v>
      </c>
      <c r="O8" s="15"/>
      <c r="P8" s="15"/>
      <c r="Q8" s="20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</row>
    <row r="9" spans="1:28" ht="20" customHeight="1" x14ac:dyDescent="0.25">
      <c r="A9" s="28"/>
      <c r="B9" s="28"/>
      <c r="C9" s="28"/>
      <c r="D9" s="12" t="s">
        <v>22</v>
      </c>
      <c r="E9" s="19">
        <v>2</v>
      </c>
      <c r="F9" s="12">
        <v>12</v>
      </c>
      <c r="G9" s="12">
        <v>19</v>
      </c>
      <c r="H9" s="12">
        <v>20</v>
      </c>
      <c r="I9" s="12">
        <v>12</v>
      </c>
      <c r="J9" s="13">
        <f t="shared" si="3"/>
        <v>3.25</v>
      </c>
      <c r="K9" s="12">
        <v>20111</v>
      </c>
      <c r="L9" s="12">
        <v>11373</v>
      </c>
      <c r="M9" s="12">
        <f t="shared" si="4"/>
        <v>8738</v>
      </c>
      <c r="N9" s="23">
        <f t="shared" si="5"/>
        <v>1675.9166666666667</v>
      </c>
      <c r="O9" s="15"/>
      <c r="P9" s="15"/>
      <c r="Q9" s="20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</row>
    <row r="10" spans="1:28" ht="20" customHeight="1" x14ac:dyDescent="0.25">
      <c r="A10" s="28"/>
      <c r="B10" s="28"/>
      <c r="C10" s="28"/>
      <c r="D10" s="12" t="s">
        <v>23</v>
      </c>
      <c r="E10" s="19">
        <v>19</v>
      </c>
      <c r="F10" s="12">
        <v>12</v>
      </c>
      <c r="G10" s="12">
        <v>12</v>
      </c>
      <c r="H10" s="12">
        <v>15</v>
      </c>
      <c r="I10" s="12">
        <v>15</v>
      </c>
      <c r="J10" s="13">
        <f t="shared" si="3"/>
        <v>1.8</v>
      </c>
      <c r="K10" s="12">
        <v>9305</v>
      </c>
      <c r="L10" s="12">
        <v>10007</v>
      </c>
      <c r="M10" s="12">
        <f t="shared" si="4"/>
        <v>-702</v>
      </c>
      <c r="N10" s="23">
        <f t="shared" si="5"/>
        <v>775.41666666666663</v>
      </c>
      <c r="O10" s="15"/>
      <c r="P10" s="15"/>
      <c r="Q10" s="20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</row>
    <row r="11" spans="1:28" ht="20" customHeight="1" x14ac:dyDescent="0.25">
      <c r="A11" s="28"/>
      <c r="B11" s="28"/>
      <c r="C11" s="28"/>
      <c r="D11" s="12" t="s">
        <v>25</v>
      </c>
      <c r="E11" s="19">
        <v>4</v>
      </c>
      <c r="F11" s="12">
        <v>12</v>
      </c>
      <c r="G11" s="12">
        <v>20</v>
      </c>
      <c r="H11" s="12">
        <v>15</v>
      </c>
      <c r="I11" s="12">
        <v>13</v>
      </c>
      <c r="J11" s="13">
        <f t="shared" si="3"/>
        <v>2.6923076923076925</v>
      </c>
      <c r="K11" s="12">
        <v>13729</v>
      </c>
      <c r="L11" s="12">
        <v>9710</v>
      </c>
      <c r="M11" s="12">
        <f t="shared" si="4"/>
        <v>4019</v>
      </c>
      <c r="N11" s="23">
        <f t="shared" si="5"/>
        <v>1144.0833333333333</v>
      </c>
      <c r="O11" s="15"/>
      <c r="P11" s="15"/>
      <c r="Q11" s="20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</row>
    <row r="12" spans="1:28" ht="20" customHeight="1" x14ac:dyDescent="0.25">
      <c r="A12" s="28"/>
      <c r="B12" s="28"/>
      <c r="C12" s="28"/>
      <c r="D12" s="12" t="s">
        <v>26</v>
      </c>
      <c r="E12" s="19">
        <v>22</v>
      </c>
      <c r="F12" s="12">
        <v>12</v>
      </c>
      <c r="G12" s="12">
        <v>5</v>
      </c>
      <c r="H12" s="12">
        <v>7</v>
      </c>
      <c r="I12" s="12">
        <v>13</v>
      </c>
      <c r="J12" s="13">
        <f t="shared" si="3"/>
        <v>0.92307692307692313</v>
      </c>
      <c r="K12" s="12">
        <v>8682</v>
      </c>
      <c r="L12" s="12">
        <v>10277</v>
      </c>
      <c r="M12" s="12">
        <f t="shared" si="4"/>
        <v>-1595</v>
      </c>
      <c r="N12" s="23">
        <f t="shared" si="5"/>
        <v>723.5</v>
      </c>
      <c r="O12" s="15"/>
      <c r="P12" s="15"/>
      <c r="Q12" s="20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</row>
    <row r="13" spans="1:28" ht="20" customHeight="1" x14ac:dyDescent="0.25">
      <c r="A13" s="28"/>
      <c r="B13" s="28"/>
      <c r="C13" s="28"/>
      <c r="D13" s="12" t="s">
        <v>27</v>
      </c>
      <c r="E13" s="19">
        <v>1</v>
      </c>
      <c r="F13" s="12">
        <v>12</v>
      </c>
      <c r="G13" s="12">
        <v>24</v>
      </c>
      <c r="H13" s="12">
        <v>16</v>
      </c>
      <c r="I13" s="12">
        <v>12</v>
      </c>
      <c r="J13" s="13">
        <f t="shared" si="3"/>
        <v>3.3333333333333335</v>
      </c>
      <c r="K13" s="12">
        <v>13216</v>
      </c>
      <c r="L13" s="12">
        <v>9501</v>
      </c>
      <c r="M13" s="12">
        <f t="shared" si="4"/>
        <v>3715</v>
      </c>
      <c r="N13" s="23">
        <f t="shared" si="5"/>
        <v>1101.3333333333333</v>
      </c>
      <c r="O13" s="15"/>
      <c r="P13" s="15"/>
      <c r="Q13" s="20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</row>
    <row r="14" spans="1:28" ht="20" customHeight="1" x14ac:dyDescent="0.25">
      <c r="A14" s="28"/>
      <c r="B14" s="28"/>
      <c r="C14" s="28"/>
      <c r="D14" s="12" t="s">
        <v>29</v>
      </c>
      <c r="E14" s="19">
        <v>2</v>
      </c>
      <c r="F14" s="12">
        <v>12</v>
      </c>
      <c r="G14" s="12">
        <v>18</v>
      </c>
      <c r="H14" s="12">
        <v>20</v>
      </c>
      <c r="I14" s="12">
        <v>12</v>
      </c>
      <c r="J14" s="13">
        <f t="shared" si="3"/>
        <v>3.1666666666666665</v>
      </c>
      <c r="K14" s="12">
        <v>16858</v>
      </c>
      <c r="L14" s="12">
        <v>11078</v>
      </c>
      <c r="M14" s="12">
        <f t="shared" si="4"/>
        <v>5780</v>
      </c>
      <c r="N14" s="23">
        <f t="shared" si="5"/>
        <v>1404.8333333333333</v>
      </c>
      <c r="O14" s="15"/>
      <c r="P14" s="15"/>
      <c r="Q14" s="20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</row>
    <row r="15" spans="1:28" ht="20" customHeight="1" x14ac:dyDescent="0.25">
      <c r="A15" s="28"/>
      <c r="B15" s="28"/>
      <c r="C15" s="28"/>
      <c r="D15" s="12" t="s">
        <v>28</v>
      </c>
      <c r="E15" s="19">
        <v>19</v>
      </c>
      <c r="F15" s="12">
        <v>12</v>
      </c>
      <c r="G15" s="12">
        <v>22</v>
      </c>
      <c r="H15" s="12">
        <v>13</v>
      </c>
      <c r="I15" s="12">
        <v>13</v>
      </c>
      <c r="J15" s="13">
        <f t="shared" si="3"/>
        <v>2.6923076923076925</v>
      </c>
      <c r="K15" s="12">
        <v>15177</v>
      </c>
      <c r="L15" s="12">
        <v>9794</v>
      </c>
      <c r="M15" s="12">
        <f t="shared" si="4"/>
        <v>5383</v>
      </c>
      <c r="N15" s="23">
        <f t="shared" si="5"/>
        <v>1264.75</v>
      </c>
      <c r="O15" s="15"/>
      <c r="P15" s="15"/>
      <c r="Q15" s="20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</row>
    <row r="16" spans="1:28" ht="20" customHeight="1" x14ac:dyDescent="0.25">
      <c r="A16" s="28"/>
      <c r="B16" s="28"/>
      <c r="C16" s="28"/>
      <c r="D16" s="12" t="s">
        <v>30</v>
      </c>
      <c r="E16" s="19">
        <v>4</v>
      </c>
      <c r="F16" s="12">
        <v>12</v>
      </c>
      <c r="G16" s="12">
        <v>16</v>
      </c>
      <c r="H16" s="12">
        <v>14</v>
      </c>
      <c r="I16" s="12">
        <v>11</v>
      </c>
      <c r="J16" s="13">
        <f t="shared" si="3"/>
        <v>2.7272727272727271</v>
      </c>
      <c r="K16" s="12">
        <v>9631</v>
      </c>
      <c r="L16" s="12">
        <v>9061</v>
      </c>
      <c r="M16" s="12">
        <f t="shared" si="4"/>
        <v>570</v>
      </c>
      <c r="N16" s="23">
        <f t="shared" si="5"/>
        <v>802.58333333333337</v>
      </c>
      <c r="O16" s="15"/>
      <c r="P16" s="15"/>
      <c r="Q16" s="20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</row>
    <row r="17" spans="1:28" ht="20" customHeight="1" x14ac:dyDescent="0.25">
      <c r="A17" s="28"/>
      <c r="B17" s="28"/>
      <c r="C17" s="28"/>
      <c r="D17" s="12" t="s">
        <v>31</v>
      </c>
      <c r="E17" s="19">
        <v>22</v>
      </c>
      <c r="F17" s="12">
        <v>12</v>
      </c>
      <c r="G17" s="12">
        <v>10</v>
      </c>
      <c r="H17" s="12">
        <v>6</v>
      </c>
      <c r="I17" s="12">
        <v>13</v>
      </c>
      <c r="J17" s="13">
        <f t="shared" si="3"/>
        <v>1.2307692307692308</v>
      </c>
      <c r="K17" s="12">
        <v>11313</v>
      </c>
      <c r="L17" s="12">
        <v>10782</v>
      </c>
      <c r="M17" s="12">
        <f t="shared" si="4"/>
        <v>531</v>
      </c>
      <c r="N17" s="23">
        <f t="shared" si="5"/>
        <v>942.75</v>
      </c>
      <c r="O17" s="15"/>
      <c r="P17" s="15"/>
      <c r="Q17" s="20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</row>
    <row r="18" spans="1:28" ht="39.950000000000003" customHeight="1" x14ac:dyDescent="0.25">
      <c r="A18" s="28" t="s">
        <v>24</v>
      </c>
      <c r="B18" s="28"/>
      <c r="C18" s="28"/>
      <c r="D18" s="12" t="s">
        <v>32</v>
      </c>
      <c r="E18" s="12" t="s">
        <v>1</v>
      </c>
      <c r="F18" s="12" t="s">
        <v>48</v>
      </c>
      <c r="G18" s="12" t="s">
        <v>49</v>
      </c>
      <c r="H18" s="12" t="s">
        <v>50</v>
      </c>
      <c r="I18" s="12" t="s">
        <v>38</v>
      </c>
      <c r="J18" s="12" t="s">
        <v>39</v>
      </c>
      <c r="K18" s="12" t="s">
        <v>40</v>
      </c>
      <c r="L18" s="12" t="s">
        <v>41</v>
      </c>
      <c r="M18" s="12" t="s">
        <v>42</v>
      </c>
      <c r="N18" s="12" t="s">
        <v>43</v>
      </c>
      <c r="O18" s="12" t="s">
        <v>44</v>
      </c>
      <c r="P18" s="12" t="s">
        <v>45</v>
      </c>
      <c r="Q18" s="20" t="s">
        <v>46</v>
      </c>
      <c r="R18" s="20"/>
      <c r="T18" s="12"/>
      <c r="U18" s="12"/>
      <c r="V18" s="12"/>
      <c r="W18" s="12"/>
      <c r="X18" s="12"/>
      <c r="Y18" s="12"/>
      <c r="Z18" s="12"/>
      <c r="AA18" s="12"/>
      <c r="AB18" s="12"/>
    </row>
    <row r="19" spans="1:28" ht="20" customHeight="1" x14ac:dyDescent="0.25">
      <c r="A19" s="29" t="s">
        <v>47</v>
      </c>
      <c r="B19" s="28"/>
      <c r="C19" s="28"/>
      <c r="D19" s="12" t="s">
        <v>33</v>
      </c>
      <c r="E19" s="19">
        <v>1</v>
      </c>
      <c r="F19" s="25">
        <v>10.83</v>
      </c>
      <c r="G19" s="26">
        <v>5.58</v>
      </c>
      <c r="H19" s="27">
        <v>5.25</v>
      </c>
      <c r="I19" s="12">
        <v>5.67</v>
      </c>
      <c r="J19" s="12">
        <v>2.75</v>
      </c>
      <c r="K19" s="13">
        <f>(H19+I19)/J19</f>
        <v>3.9709090909090907</v>
      </c>
      <c r="L19" s="24">
        <v>3101.25</v>
      </c>
      <c r="M19" s="12">
        <v>2567.83</v>
      </c>
      <c r="N19" s="12">
        <f t="shared" ref="N19:N23" si="6">L19-M19</f>
        <v>533.42000000000007</v>
      </c>
      <c r="O19" s="15">
        <f>O2</f>
        <v>0.75</v>
      </c>
      <c r="P19" s="22">
        <f>O19*P2</f>
        <v>0.66674999999999995</v>
      </c>
      <c r="Q19" s="21">
        <f>P19*Q2</f>
        <v>0.16668749999999999</v>
      </c>
      <c r="R19" s="20"/>
      <c r="T19" s="12"/>
      <c r="U19" s="12"/>
      <c r="V19" s="12"/>
      <c r="W19" s="12"/>
      <c r="X19" s="12"/>
      <c r="Y19" s="12"/>
      <c r="Z19" s="12"/>
      <c r="AA19" s="12"/>
      <c r="AB19" s="12"/>
    </row>
    <row r="20" spans="1:28" ht="20" customHeight="1" x14ac:dyDescent="0.25">
      <c r="A20" s="28"/>
      <c r="B20" s="28"/>
      <c r="C20" s="28"/>
      <c r="D20" s="12" t="s">
        <v>34</v>
      </c>
      <c r="E20" s="19">
        <v>2</v>
      </c>
      <c r="F20" s="25">
        <v>8.92</v>
      </c>
      <c r="G20" s="26">
        <v>4.33</v>
      </c>
      <c r="H20" s="27">
        <v>4.58</v>
      </c>
      <c r="I20" s="12">
        <v>4.08</v>
      </c>
      <c r="J20" s="12">
        <v>3.17</v>
      </c>
      <c r="K20" s="13">
        <f>(H20+I20)/J20</f>
        <v>2.7318611987381702</v>
      </c>
      <c r="L20" s="24">
        <v>3993.08</v>
      </c>
      <c r="M20" s="12">
        <v>2569.67</v>
      </c>
      <c r="N20" s="12">
        <f t="shared" si="6"/>
        <v>1423.4099999999999</v>
      </c>
      <c r="O20" s="15">
        <f t="shared" ref="O20:O23" si="7">O3</f>
        <v>0.75</v>
      </c>
      <c r="P20" s="22">
        <f t="shared" ref="P20:Q23" si="8">O20*P3</f>
        <v>0.50025000000000008</v>
      </c>
      <c r="Q20" s="21">
        <f t="shared" si="8"/>
        <v>8.3541750000000012E-2</v>
      </c>
      <c r="R20" s="20"/>
      <c r="T20" s="12"/>
      <c r="U20" s="12"/>
      <c r="V20" s="12"/>
      <c r="W20" s="12"/>
      <c r="X20" s="12"/>
      <c r="Y20" s="12"/>
      <c r="Z20" s="12"/>
      <c r="AA20" s="12"/>
      <c r="AB20" s="12"/>
    </row>
    <row r="21" spans="1:28" ht="20" customHeight="1" x14ac:dyDescent="0.25">
      <c r="A21" s="28"/>
      <c r="B21" s="28"/>
      <c r="C21" s="28"/>
      <c r="D21" s="12" t="s">
        <v>35</v>
      </c>
      <c r="E21" s="19">
        <v>19</v>
      </c>
      <c r="F21" s="25">
        <v>4.75</v>
      </c>
      <c r="G21" s="26">
        <v>1.25</v>
      </c>
      <c r="H21" s="27">
        <v>3.5</v>
      </c>
      <c r="I21" s="12">
        <v>3.67</v>
      </c>
      <c r="J21" s="12">
        <v>3.42</v>
      </c>
      <c r="K21" s="13">
        <f t="shared" ref="K21:K23" si="9">(H21+I21)/J21</f>
        <v>2.0964912280701755</v>
      </c>
      <c r="L21" s="24">
        <v>2574.92</v>
      </c>
      <c r="M21" s="12">
        <v>2310.25</v>
      </c>
      <c r="N21" s="12">
        <f t="shared" si="6"/>
        <v>264.67000000000007</v>
      </c>
      <c r="O21" s="15">
        <f t="shared" si="7"/>
        <v>0.33300000000000002</v>
      </c>
      <c r="P21" s="22">
        <f t="shared" si="8"/>
        <v>8.3250000000000005E-2</v>
      </c>
      <c r="Q21" s="21">
        <f t="shared" si="8"/>
        <v>0</v>
      </c>
      <c r="R21" s="20"/>
      <c r="T21" s="12"/>
      <c r="U21" s="12"/>
      <c r="V21" s="12"/>
      <c r="W21" s="12"/>
      <c r="X21" s="12"/>
      <c r="Y21" s="12"/>
      <c r="Z21" s="12"/>
      <c r="AA21" s="12"/>
      <c r="AB21" s="12"/>
    </row>
    <row r="22" spans="1:28" ht="20" customHeight="1" x14ac:dyDescent="0.25">
      <c r="A22" s="28"/>
      <c r="B22" s="28"/>
      <c r="C22" s="28"/>
      <c r="D22" s="12" t="s">
        <v>36</v>
      </c>
      <c r="E22" s="19">
        <v>4</v>
      </c>
      <c r="F22" s="25">
        <v>8.25</v>
      </c>
      <c r="G22" s="26">
        <v>4.08</v>
      </c>
      <c r="H22" s="27">
        <v>4.17</v>
      </c>
      <c r="I22" s="12">
        <v>4.33</v>
      </c>
      <c r="J22" s="12">
        <v>2.83</v>
      </c>
      <c r="K22" s="13">
        <f t="shared" si="9"/>
        <v>3.0035335689045937</v>
      </c>
      <c r="L22" s="24">
        <v>2689.08</v>
      </c>
      <c r="M22" s="12">
        <v>2194.67</v>
      </c>
      <c r="N22" s="12">
        <f t="shared" si="6"/>
        <v>494.40999999999985</v>
      </c>
      <c r="O22" s="15">
        <f t="shared" si="7"/>
        <v>0.66700000000000004</v>
      </c>
      <c r="P22" s="22">
        <f t="shared" si="8"/>
        <v>0.416875</v>
      </c>
      <c r="Q22" s="21">
        <f t="shared" si="8"/>
        <v>0.16675000000000001</v>
      </c>
      <c r="R22" s="20"/>
      <c r="T22" s="12"/>
      <c r="U22" s="12"/>
      <c r="V22" s="12"/>
      <c r="W22" s="12"/>
      <c r="X22" s="12"/>
      <c r="Y22" s="12"/>
      <c r="Z22" s="12"/>
      <c r="AA22" s="12"/>
      <c r="AB22" s="12"/>
    </row>
    <row r="23" spans="1:28" ht="20" customHeight="1" x14ac:dyDescent="0.25">
      <c r="A23" s="28"/>
      <c r="B23" s="28"/>
      <c r="C23" s="28"/>
      <c r="D23" s="12" t="s">
        <v>37</v>
      </c>
      <c r="E23" s="19">
        <v>22</v>
      </c>
      <c r="F23" s="25">
        <v>4.5</v>
      </c>
      <c r="G23" s="26">
        <v>2.75</v>
      </c>
      <c r="H23" s="27">
        <v>1.75</v>
      </c>
      <c r="I23" s="12">
        <v>1.92</v>
      </c>
      <c r="J23" s="12">
        <v>3.33</v>
      </c>
      <c r="K23" s="13">
        <f t="shared" si="9"/>
        <v>1.102102102102102</v>
      </c>
      <c r="L23" s="24">
        <v>2161.33</v>
      </c>
      <c r="M23" s="12">
        <v>2586.75</v>
      </c>
      <c r="N23" s="12">
        <f t="shared" si="6"/>
        <v>-425.42000000000007</v>
      </c>
      <c r="O23" s="15">
        <f t="shared" si="7"/>
        <v>0.66700000000000004</v>
      </c>
      <c r="P23" s="22">
        <f t="shared" si="8"/>
        <v>0.25012500000000004</v>
      </c>
      <c r="Q23" s="21">
        <f t="shared" si="8"/>
        <v>0</v>
      </c>
      <c r="R23" s="20"/>
      <c r="T23" s="12"/>
      <c r="U23" s="12"/>
      <c r="V23" s="12"/>
      <c r="W23" s="12"/>
      <c r="X23" s="12"/>
      <c r="Y23" s="12"/>
      <c r="Z23" s="12"/>
      <c r="AA23" s="12"/>
      <c r="AB23" s="12"/>
    </row>
    <row r="24" spans="1:28" ht="20" customHeight="1" x14ac:dyDescent="0.25">
      <c r="A24" s="28"/>
      <c r="B24" s="28"/>
      <c r="C24" s="28"/>
      <c r="D24" s="12"/>
      <c r="E24" s="19"/>
      <c r="F24" s="12"/>
      <c r="G24" s="12"/>
      <c r="H24" s="12"/>
      <c r="I24" s="12"/>
      <c r="J24" s="13"/>
      <c r="K24" s="12"/>
      <c r="L24" s="12"/>
      <c r="M24" s="12"/>
      <c r="N24" s="18"/>
      <c r="O24" s="15"/>
      <c r="P24" s="16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</row>
    <row r="25" spans="1:28" ht="20" customHeight="1" x14ac:dyDescent="0.25">
      <c r="A25" s="28"/>
      <c r="B25" s="28"/>
      <c r="C25" s="28"/>
      <c r="D25" s="12"/>
      <c r="E25" s="19"/>
      <c r="F25" s="12"/>
      <c r="G25" s="12"/>
      <c r="H25" s="12"/>
      <c r="I25" s="12"/>
      <c r="J25" s="13"/>
      <c r="K25" s="12"/>
      <c r="L25" s="12"/>
      <c r="M25" s="12"/>
      <c r="N25" s="18"/>
      <c r="O25" s="15"/>
      <c r="P25" s="15"/>
      <c r="Q25" s="16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</row>
    <row r="26" spans="1:28" ht="20" customHeight="1" x14ac:dyDescent="0.25">
      <c r="A26" s="28"/>
      <c r="B26" s="28"/>
      <c r="C26" s="28"/>
      <c r="D26" s="12"/>
      <c r="E26" s="19"/>
      <c r="F26" s="12"/>
      <c r="G26" s="12"/>
      <c r="H26" s="12"/>
      <c r="I26" s="12"/>
      <c r="J26" s="13"/>
      <c r="K26" s="12"/>
      <c r="L26" s="12"/>
      <c r="M26" s="12"/>
      <c r="N26" s="18"/>
      <c r="O26" s="15"/>
      <c r="P26" s="15"/>
      <c r="Q26" s="16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</row>
    <row r="27" spans="1:28" ht="20" customHeight="1" x14ac:dyDescent="0.25">
      <c r="A27" s="28"/>
      <c r="B27" s="28"/>
      <c r="C27" s="28"/>
      <c r="D27" s="12"/>
      <c r="E27" s="19"/>
      <c r="F27" s="12"/>
      <c r="G27" s="12"/>
      <c r="H27" s="12"/>
      <c r="I27" s="12"/>
      <c r="J27" s="13"/>
      <c r="K27" s="12"/>
      <c r="L27" s="12"/>
      <c r="M27" s="12"/>
      <c r="N27" s="18"/>
      <c r="O27" s="15"/>
      <c r="P27" s="15"/>
      <c r="Q27" s="16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</row>
    <row r="28" spans="1:28" ht="20" customHeight="1" x14ac:dyDescent="0.25">
      <c r="A28" s="28"/>
      <c r="B28" s="28"/>
      <c r="C28" s="28"/>
      <c r="D28" s="12"/>
      <c r="E28" s="19"/>
      <c r="F28" s="12"/>
      <c r="G28" s="12"/>
      <c r="H28" s="12"/>
      <c r="I28" s="12"/>
      <c r="J28" s="13"/>
      <c r="K28" s="12"/>
      <c r="L28" s="12"/>
      <c r="M28" s="12"/>
      <c r="N28" s="18"/>
      <c r="O28" s="15"/>
      <c r="P28" s="15"/>
      <c r="Q28" s="16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</row>
    <row r="29" spans="1:28" ht="20" customHeight="1" x14ac:dyDescent="0.25">
      <c r="A29" s="12"/>
      <c r="B29" s="12"/>
      <c r="C29" s="12"/>
      <c r="D29" s="11"/>
      <c r="E29" s="17"/>
      <c r="F29" s="11"/>
      <c r="G29" s="11"/>
      <c r="H29" s="11"/>
      <c r="I29" s="11"/>
      <c r="J29" s="13"/>
      <c r="K29" s="11"/>
      <c r="L29" s="11"/>
      <c r="M29" s="11"/>
      <c r="N29" s="18"/>
      <c r="O29" s="15"/>
      <c r="P29" s="15"/>
      <c r="Q29" s="16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</row>
    <row r="30" spans="1:28" ht="20" customHeight="1" x14ac:dyDescent="0.25">
      <c r="A30" s="12"/>
      <c r="B30" s="12"/>
      <c r="C30" s="12"/>
      <c r="D30" s="11"/>
      <c r="E30" s="17"/>
      <c r="F30" s="11"/>
      <c r="G30" s="11"/>
      <c r="H30" s="11"/>
      <c r="I30" s="11"/>
      <c r="J30" s="13"/>
      <c r="K30" s="11"/>
      <c r="L30" s="11"/>
      <c r="M30" s="11"/>
      <c r="N30" s="14"/>
      <c r="O30" s="15"/>
      <c r="P30" s="15"/>
      <c r="Q30" s="16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</row>
    <row r="31" spans="1:28" ht="39.950000000000003" customHeight="1" x14ac:dyDescent="0.25">
      <c r="A31" s="12"/>
      <c r="B31" s="12"/>
      <c r="C31" s="12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</row>
    <row r="32" spans="1:28" ht="20" customHeight="1" x14ac:dyDescent="0.25">
      <c r="A32" s="12"/>
      <c r="B32" s="12"/>
      <c r="C32" s="12"/>
      <c r="D32" s="11"/>
      <c r="E32" s="17"/>
      <c r="F32" s="11"/>
      <c r="G32" s="11"/>
      <c r="H32" s="11"/>
      <c r="I32" s="11"/>
      <c r="J32" s="13"/>
      <c r="K32" s="11"/>
      <c r="L32" s="11"/>
      <c r="M32" s="11"/>
      <c r="N32" s="18"/>
      <c r="O32" s="15"/>
      <c r="P32" s="15"/>
      <c r="Q32" s="16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</row>
    <row r="33" spans="1:28" ht="20" customHeight="1" x14ac:dyDescent="0.25">
      <c r="A33" s="12"/>
      <c r="B33" s="12"/>
      <c r="C33" s="12"/>
      <c r="D33" s="11"/>
      <c r="E33" s="17"/>
      <c r="F33" s="11"/>
      <c r="G33" s="11"/>
      <c r="H33" s="11"/>
      <c r="I33" s="11"/>
      <c r="J33" s="13"/>
      <c r="K33" s="11"/>
      <c r="L33" s="11"/>
      <c r="M33" s="11"/>
      <c r="N33" s="18"/>
      <c r="O33" s="15"/>
      <c r="P33" s="15"/>
      <c r="Q33" s="16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</row>
    <row r="34" spans="1:28" ht="20" customHeight="1" x14ac:dyDescent="0.25">
      <c r="A34" s="12"/>
      <c r="B34" s="12"/>
      <c r="C34" s="12"/>
      <c r="D34" s="11"/>
      <c r="E34" s="17"/>
      <c r="F34" s="11"/>
      <c r="G34" s="11"/>
      <c r="H34" s="11"/>
      <c r="I34" s="11"/>
      <c r="J34" s="13"/>
      <c r="K34" s="11"/>
      <c r="L34" s="11"/>
      <c r="M34" s="11"/>
      <c r="N34" s="18"/>
      <c r="O34" s="15"/>
      <c r="P34" s="15"/>
      <c r="Q34" s="16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</row>
    <row r="35" spans="1:28" ht="20" customHeight="1" x14ac:dyDescent="0.25">
      <c r="A35" s="12"/>
      <c r="B35" s="12"/>
      <c r="C35" s="12"/>
      <c r="D35" s="11"/>
      <c r="E35" s="17"/>
      <c r="F35" s="11"/>
      <c r="G35" s="11"/>
      <c r="H35" s="11"/>
      <c r="I35" s="11"/>
      <c r="J35" s="13"/>
      <c r="K35" s="11"/>
      <c r="L35" s="11"/>
      <c r="M35" s="11"/>
      <c r="N35" s="18"/>
      <c r="O35" s="15"/>
      <c r="P35" s="15"/>
      <c r="Q35" s="16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</row>
    <row r="36" spans="1:28" ht="20" customHeight="1" x14ac:dyDescent="0.25">
      <c r="A36" s="12"/>
      <c r="B36" s="12"/>
      <c r="C36" s="12"/>
      <c r="D36" s="11"/>
      <c r="E36" s="17"/>
      <c r="F36" s="11"/>
      <c r="G36" s="11"/>
      <c r="H36" s="11"/>
      <c r="I36" s="11"/>
      <c r="J36" s="13"/>
      <c r="K36" s="11"/>
      <c r="L36" s="11"/>
      <c r="M36" s="11"/>
      <c r="N36" s="18"/>
      <c r="O36" s="15"/>
      <c r="P36" s="15"/>
      <c r="Q36" s="16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</row>
    <row r="37" spans="1:28" ht="20" customHeight="1" x14ac:dyDescent="0.25">
      <c r="A37" s="12"/>
      <c r="B37" s="12"/>
      <c r="C37" s="12"/>
      <c r="D37" s="11"/>
      <c r="E37" s="17"/>
      <c r="F37" s="11"/>
      <c r="G37" s="11"/>
      <c r="H37" s="11"/>
      <c r="I37" s="11"/>
      <c r="J37" s="13"/>
      <c r="K37" s="11"/>
      <c r="L37" s="11"/>
      <c r="M37" s="11"/>
      <c r="N37" s="14"/>
      <c r="O37" s="15"/>
      <c r="P37" s="15"/>
      <c r="Q37" s="16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</row>
    <row r="38" spans="1:28" ht="39.950000000000003" customHeight="1" x14ac:dyDescent="0.25">
      <c r="A38" s="28"/>
      <c r="B38" s="28"/>
      <c r="C38" s="28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</row>
    <row r="39" spans="1:28" ht="20" customHeight="1" x14ac:dyDescent="0.25">
      <c r="A39" s="28"/>
      <c r="B39" s="28"/>
      <c r="C39" s="28"/>
      <c r="D39" s="11"/>
      <c r="E39" s="17"/>
      <c r="F39" s="17"/>
      <c r="G39" s="17"/>
      <c r="H39" s="17"/>
      <c r="I39" s="17"/>
      <c r="J39" s="17"/>
      <c r="K39" s="17"/>
      <c r="L39" s="17"/>
      <c r="M39" s="17"/>
      <c r="N39" s="18"/>
      <c r="O39" s="17"/>
      <c r="P39" s="17"/>
      <c r="Q39" s="17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</row>
    <row r="40" spans="1:28" ht="20" customHeight="1" x14ac:dyDescent="0.25">
      <c r="A40" s="28"/>
      <c r="B40" s="28"/>
      <c r="C40" s="28"/>
      <c r="D40" s="11"/>
      <c r="E40" s="17"/>
      <c r="F40" s="11"/>
      <c r="G40" s="11"/>
      <c r="H40" s="11"/>
      <c r="I40" s="11"/>
      <c r="J40" s="13"/>
      <c r="K40" s="11"/>
      <c r="L40" s="11"/>
      <c r="M40" s="11"/>
      <c r="N40" s="18"/>
      <c r="O40" s="15"/>
      <c r="P40" s="15"/>
      <c r="Q40" s="16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</row>
    <row r="41" spans="1:28" ht="20" customHeight="1" x14ac:dyDescent="0.25">
      <c r="A41" s="28"/>
      <c r="B41" s="28"/>
      <c r="C41" s="28"/>
      <c r="D41" s="11"/>
      <c r="E41" s="17"/>
      <c r="F41" s="11"/>
      <c r="G41" s="11"/>
      <c r="H41" s="11"/>
      <c r="I41" s="11"/>
      <c r="J41" s="13"/>
      <c r="K41" s="11"/>
      <c r="L41" s="11"/>
      <c r="M41" s="11"/>
      <c r="N41" s="18"/>
      <c r="O41" s="15"/>
      <c r="P41" s="15"/>
      <c r="Q41" s="16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</row>
    <row r="42" spans="1:28" ht="20" customHeight="1" x14ac:dyDescent="0.25">
      <c r="A42" s="28"/>
      <c r="B42" s="28"/>
      <c r="C42" s="28"/>
      <c r="D42" s="11"/>
      <c r="E42" s="17"/>
      <c r="F42" s="11"/>
      <c r="G42" s="11"/>
      <c r="H42" s="11"/>
      <c r="I42" s="11"/>
      <c r="J42" s="13"/>
      <c r="K42" s="11"/>
      <c r="L42" s="11"/>
      <c r="M42" s="11"/>
      <c r="N42" s="18"/>
      <c r="O42" s="15"/>
      <c r="P42" s="15"/>
      <c r="Q42" s="16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</row>
    <row r="43" spans="1:28" ht="20" customHeight="1" x14ac:dyDescent="0.25">
      <c r="A43" s="28"/>
      <c r="B43" s="28"/>
      <c r="C43" s="28"/>
      <c r="D43" s="11"/>
      <c r="E43" s="17"/>
      <c r="F43" s="11"/>
      <c r="G43" s="11"/>
      <c r="H43" s="11"/>
      <c r="I43" s="11"/>
      <c r="J43" s="13"/>
      <c r="K43" s="11"/>
      <c r="L43" s="11"/>
      <c r="M43" s="11"/>
      <c r="N43" s="18"/>
      <c r="O43" s="15"/>
      <c r="P43" s="15"/>
      <c r="Q43" s="16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</row>
    <row r="44" spans="1:28" ht="20" customHeight="1" x14ac:dyDescent="0.25">
      <c r="A44" s="28"/>
      <c r="B44" s="28"/>
      <c r="C44" s="28"/>
      <c r="D44" s="11"/>
      <c r="E44" s="17"/>
      <c r="F44" s="11"/>
      <c r="G44" s="11"/>
      <c r="H44" s="11"/>
      <c r="I44" s="11"/>
      <c r="J44" s="13"/>
      <c r="K44" s="11"/>
      <c r="L44" s="11"/>
      <c r="M44" s="11"/>
      <c r="N44" s="18"/>
      <c r="O44" s="15"/>
      <c r="P44" s="15"/>
      <c r="Q44" s="16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</row>
    <row r="45" spans="1:28" ht="39.950000000000003" customHeight="1" x14ac:dyDescent="0.25">
      <c r="A45" s="28"/>
      <c r="B45" s="28"/>
      <c r="C45" s="28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8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</row>
    <row r="46" spans="1:28" ht="20" customHeight="1" x14ac:dyDescent="0.25">
      <c r="A46" s="28"/>
      <c r="B46" s="28"/>
      <c r="C46" s="28"/>
      <c r="D46" s="11"/>
      <c r="E46" s="17"/>
      <c r="F46" s="11"/>
      <c r="G46" s="11"/>
      <c r="H46" s="11"/>
      <c r="I46" s="11"/>
      <c r="J46" s="13"/>
      <c r="K46" s="11"/>
      <c r="L46" s="11"/>
      <c r="M46" s="11"/>
      <c r="N46" s="18"/>
      <c r="O46" s="15"/>
      <c r="P46" s="15"/>
      <c r="Q46" s="16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</row>
    <row r="47" spans="1:28" ht="20" customHeight="1" x14ac:dyDescent="0.25">
      <c r="A47" s="28"/>
      <c r="B47" s="28"/>
      <c r="C47" s="28"/>
      <c r="D47" s="11"/>
      <c r="E47" s="17"/>
      <c r="F47" s="11"/>
      <c r="G47" s="11"/>
      <c r="H47" s="11"/>
      <c r="I47" s="11"/>
      <c r="J47" s="13"/>
      <c r="K47" s="11"/>
      <c r="L47" s="11"/>
      <c r="M47" s="11"/>
      <c r="N47" s="18"/>
      <c r="O47" s="15"/>
      <c r="P47" s="15"/>
      <c r="Q47" s="16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</row>
    <row r="48" spans="1:28" ht="20" customHeight="1" x14ac:dyDescent="0.25">
      <c r="A48" s="28"/>
      <c r="B48" s="28"/>
      <c r="C48" s="28"/>
      <c r="D48" s="11"/>
      <c r="E48" s="17"/>
      <c r="F48" s="11"/>
      <c r="G48" s="11"/>
      <c r="H48" s="11"/>
      <c r="I48" s="11"/>
      <c r="J48" s="13"/>
      <c r="K48" s="11"/>
      <c r="L48" s="11"/>
      <c r="M48" s="11"/>
      <c r="N48" s="18"/>
      <c r="O48" s="15"/>
      <c r="P48" s="15"/>
      <c r="Q48" s="16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</row>
    <row r="49" spans="1:28" ht="20" customHeight="1" x14ac:dyDescent="0.25">
      <c r="A49" s="28"/>
      <c r="B49" s="28"/>
      <c r="C49" s="28"/>
      <c r="D49" s="11"/>
      <c r="E49" s="17"/>
      <c r="F49" s="11"/>
      <c r="G49" s="11"/>
      <c r="H49" s="11"/>
      <c r="I49" s="11"/>
      <c r="J49" s="13"/>
      <c r="K49" s="11"/>
      <c r="L49" s="11"/>
      <c r="M49" s="11"/>
      <c r="N49" s="18"/>
      <c r="O49" s="15"/>
      <c r="P49" s="15"/>
      <c r="Q49" s="16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</row>
    <row r="50" spans="1:28" ht="20" customHeight="1" x14ac:dyDescent="0.25">
      <c r="A50" s="28"/>
      <c r="B50" s="28"/>
      <c r="C50" s="28"/>
      <c r="D50" s="11"/>
      <c r="E50" s="17"/>
      <c r="F50" s="11"/>
      <c r="G50" s="11"/>
      <c r="H50" s="11"/>
      <c r="I50" s="11"/>
      <c r="J50" s="13"/>
      <c r="K50" s="11"/>
      <c r="L50" s="11"/>
      <c r="M50" s="11"/>
      <c r="N50" s="18"/>
      <c r="O50" s="15"/>
      <c r="P50" s="15"/>
      <c r="Q50" s="16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</row>
    <row r="51" spans="1:28" ht="20" customHeight="1" x14ac:dyDescent="0.25">
      <c r="A51" s="28"/>
      <c r="B51" s="28"/>
      <c r="C51" s="28"/>
      <c r="D51" s="11"/>
      <c r="E51" s="17"/>
      <c r="F51" s="11"/>
      <c r="G51" s="11"/>
      <c r="H51" s="11"/>
      <c r="I51" s="11"/>
      <c r="J51" s="13"/>
      <c r="K51" s="11"/>
      <c r="L51" s="11"/>
      <c r="M51" s="11"/>
      <c r="N51" s="18"/>
      <c r="O51" s="15"/>
      <c r="P51" s="15"/>
      <c r="Q51" s="16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</row>
    <row r="52" spans="1:28" ht="39.950000000000003" customHeight="1" x14ac:dyDescent="0.25">
      <c r="A52" s="28"/>
      <c r="B52" s="28"/>
      <c r="C52" s="28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</row>
    <row r="53" spans="1:28" ht="20" customHeight="1" x14ac:dyDescent="0.25">
      <c r="A53" s="28"/>
      <c r="B53" s="28"/>
      <c r="C53" s="28"/>
      <c r="D53" s="11"/>
      <c r="E53" s="17"/>
      <c r="F53" s="11"/>
      <c r="G53" s="11"/>
      <c r="H53" s="11"/>
      <c r="I53" s="11"/>
      <c r="J53" s="13"/>
      <c r="K53" s="11"/>
      <c r="L53" s="11"/>
      <c r="M53" s="11"/>
      <c r="N53" s="18"/>
      <c r="O53" s="15"/>
      <c r="P53" s="15"/>
      <c r="Q53" s="16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</row>
    <row r="54" spans="1:28" ht="20" customHeight="1" x14ac:dyDescent="0.25">
      <c r="A54" s="28"/>
      <c r="B54" s="28"/>
      <c r="C54" s="28"/>
      <c r="D54" s="11"/>
      <c r="E54" s="17"/>
      <c r="F54" s="11"/>
      <c r="G54" s="11"/>
      <c r="H54" s="11"/>
      <c r="I54" s="11"/>
      <c r="J54" s="13"/>
      <c r="K54" s="11"/>
      <c r="L54" s="11"/>
      <c r="M54" s="11"/>
      <c r="N54" s="18"/>
      <c r="O54" s="15"/>
      <c r="P54" s="15"/>
      <c r="Q54" s="16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</row>
    <row r="55" spans="1:28" ht="20" customHeight="1" x14ac:dyDescent="0.25">
      <c r="A55" s="28"/>
      <c r="B55" s="28"/>
      <c r="C55" s="28"/>
      <c r="D55" s="11"/>
      <c r="E55" s="17"/>
      <c r="F55" s="11"/>
      <c r="G55" s="11"/>
      <c r="H55" s="11"/>
      <c r="I55" s="11"/>
      <c r="J55" s="13"/>
      <c r="K55" s="11"/>
      <c r="L55" s="11"/>
      <c r="M55" s="11"/>
      <c r="N55" s="18"/>
      <c r="O55" s="15"/>
      <c r="P55" s="15"/>
      <c r="Q55" s="16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</row>
    <row r="56" spans="1:28" ht="20" customHeight="1" x14ac:dyDescent="0.25">
      <c r="A56" s="28"/>
      <c r="B56" s="28"/>
      <c r="C56" s="28"/>
      <c r="D56" s="11"/>
      <c r="E56" s="17"/>
      <c r="F56" s="11"/>
      <c r="G56" s="11"/>
      <c r="H56" s="11"/>
      <c r="I56" s="11"/>
      <c r="J56" s="13"/>
      <c r="K56" s="11"/>
      <c r="L56" s="11"/>
      <c r="M56" s="11"/>
      <c r="N56" s="18"/>
      <c r="O56" s="15"/>
      <c r="P56" s="15"/>
      <c r="Q56" s="16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</row>
    <row r="57" spans="1:28" ht="20" customHeight="1" x14ac:dyDescent="0.25">
      <c r="A57" s="28"/>
      <c r="B57" s="28"/>
      <c r="C57" s="28"/>
      <c r="D57" s="11"/>
      <c r="E57" s="17"/>
      <c r="F57" s="11"/>
      <c r="G57" s="11"/>
      <c r="H57" s="11"/>
      <c r="I57" s="11"/>
      <c r="J57" s="13"/>
      <c r="K57" s="11"/>
      <c r="L57" s="11"/>
      <c r="M57" s="11"/>
      <c r="N57" s="18"/>
      <c r="O57" s="15"/>
      <c r="P57" s="15"/>
      <c r="Q57" s="16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</row>
    <row r="58" spans="1:28" ht="20" customHeight="1" x14ac:dyDescent="0.25">
      <c r="A58" s="28"/>
      <c r="B58" s="28"/>
      <c r="C58" s="28"/>
      <c r="D58" s="11"/>
      <c r="E58" s="17"/>
      <c r="F58" s="11"/>
      <c r="G58" s="11"/>
      <c r="H58" s="11"/>
      <c r="I58" s="11"/>
      <c r="J58" s="13"/>
      <c r="K58" s="11"/>
      <c r="L58" s="11"/>
      <c r="M58" s="11"/>
      <c r="N58" s="18"/>
      <c r="O58" s="15"/>
      <c r="P58" s="15"/>
      <c r="Q58" s="16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</row>
    <row r="59" spans="1:28" ht="39.950000000000003" customHeight="1" x14ac:dyDescent="0.25">
      <c r="A59" s="28"/>
      <c r="B59" s="28"/>
      <c r="C59" s="28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</row>
    <row r="60" spans="1:28" ht="20" customHeight="1" x14ac:dyDescent="0.25">
      <c r="A60" s="28"/>
      <c r="B60" s="28"/>
      <c r="C60" s="28"/>
      <c r="D60" s="11"/>
      <c r="E60" s="17"/>
      <c r="F60" s="11"/>
      <c r="G60" s="11"/>
      <c r="H60" s="11"/>
      <c r="I60" s="11"/>
      <c r="J60" s="13"/>
      <c r="K60" s="11"/>
      <c r="L60" s="11"/>
      <c r="M60" s="11"/>
      <c r="N60" s="18"/>
      <c r="O60" s="15"/>
      <c r="P60" s="15"/>
      <c r="Q60" s="16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</row>
    <row r="61" spans="1:28" ht="20" customHeight="1" x14ac:dyDescent="0.25">
      <c r="A61" s="28"/>
      <c r="B61" s="28"/>
      <c r="C61" s="28"/>
      <c r="D61" s="11"/>
      <c r="E61" s="17"/>
      <c r="F61" s="11"/>
      <c r="G61" s="11"/>
      <c r="H61" s="11"/>
      <c r="I61" s="11"/>
      <c r="J61" s="13"/>
      <c r="K61" s="11"/>
      <c r="L61" s="11"/>
      <c r="M61" s="11"/>
      <c r="N61" s="18"/>
      <c r="O61" s="15"/>
      <c r="P61" s="15"/>
      <c r="Q61" s="16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</row>
    <row r="62" spans="1:28" ht="20" customHeight="1" x14ac:dyDescent="0.25">
      <c r="A62" s="28"/>
      <c r="B62" s="28"/>
      <c r="C62" s="28"/>
      <c r="D62" s="11"/>
      <c r="E62" s="17"/>
      <c r="F62" s="11"/>
      <c r="G62" s="11"/>
      <c r="H62" s="11"/>
      <c r="I62" s="11"/>
      <c r="J62" s="13"/>
      <c r="K62" s="11"/>
      <c r="L62" s="11"/>
      <c r="M62" s="11"/>
      <c r="N62" s="18"/>
      <c r="O62" s="15"/>
      <c r="P62" s="15"/>
      <c r="Q62" s="16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</row>
    <row r="63" spans="1:28" ht="20" customHeight="1" x14ac:dyDescent="0.25">
      <c r="A63" s="28"/>
      <c r="B63" s="28"/>
      <c r="C63" s="28"/>
      <c r="D63" s="11"/>
      <c r="E63" s="17"/>
      <c r="F63" s="11"/>
      <c r="G63" s="11"/>
      <c r="H63" s="11"/>
      <c r="I63" s="11"/>
      <c r="J63" s="13"/>
      <c r="K63" s="11"/>
      <c r="L63" s="11"/>
      <c r="M63" s="11"/>
      <c r="N63" s="18"/>
      <c r="O63" s="15"/>
      <c r="P63" s="15"/>
      <c r="Q63" s="16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</row>
    <row r="64" spans="1:28" ht="20" customHeight="1" x14ac:dyDescent="0.25">
      <c r="A64" s="28"/>
      <c r="B64" s="28"/>
      <c r="C64" s="28"/>
      <c r="D64" s="11"/>
      <c r="E64" s="17"/>
      <c r="F64" s="11"/>
      <c r="G64" s="11"/>
      <c r="H64" s="11"/>
      <c r="I64" s="11"/>
      <c r="J64" s="13"/>
      <c r="K64" s="11"/>
      <c r="L64" s="11"/>
      <c r="M64" s="11"/>
      <c r="N64" s="18"/>
      <c r="O64" s="15"/>
      <c r="P64" s="15"/>
      <c r="Q64" s="16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</row>
    <row r="65" spans="1:28" ht="20" customHeight="1" x14ac:dyDescent="0.25">
      <c r="A65" s="28"/>
      <c r="B65" s="28"/>
      <c r="C65" s="28"/>
      <c r="D65" s="11"/>
      <c r="E65" s="17"/>
      <c r="F65" s="11"/>
      <c r="G65" s="11"/>
      <c r="H65" s="11"/>
      <c r="I65" s="11"/>
      <c r="J65" s="13"/>
      <c r="K65" s="11"/>
      <c r="L65" s="11"/>
      <c r="M65" s="11"/>
      <c r="N65" s="18"/>
      <c r="O65" s="15"/>
      <c r="P65" s="15"/>
      <c r="Q65" s="16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</row>
    <row r="66" spans="1:28" ht="20" customHeight="1" x14ac:dyDescent="0.25">
      <c r="A66" s="11"/>
      <c r="B66" s="11"/>
      <c r="C66" s="11"/>
      <c r="D66" s="11"/>
      <c r="E66" s="17"/>
      <c r="F66" s="11"/>
      <c r="G66" s="11"/>
      <c r="H66" s="11"/>
      <c r="I66" s="11"/>
      <c r="J66" s="13"/>
      <c r="K66" s="11"/>
      <c r="L66" s="11"/>
      <c r="M66" s="11"/>
      <c r="N66" s="14"/>
      <c r="O66" s="15"/>
      <c r="P66" s="15"/>
      <c r="Q66" s="16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</row>
    <row r="67" spans="1:28" ht="20" customHeight="1" x14ac:dyDescent="0.25">
      <c r="A67" s="11"/>
      <c r="B67" s="11"/>
      <c r="C67" s="11"/>
      <c r="D67" s="11"/>
      <c r="E67" s="17"/>
      <c r="F67" s="11"/>
      <c r="G67" s="11"/>
      <c r="H67" s="11"/>
      <c r="I67" s="11"/>
      <c r="J67" s="13"/>
      <c r="K67" s="11"/>
      <c r="L67" s="11"/>
      <c r="M67" s="11"/>
      <c r="N67" s="14"/>
      <c r="O67" s="15"/>
      <c r="P67" s="15"/>
      <c r="Q67" s="16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</row>
    <row r="68" spans="1:28" ht="20" customHeight="1" x14ac:dyDescent="0.25">
      <c r="A68" s="11"/>
      <c r="B68" s="11"/>
      <c r="C68" s="11"/>
      <c r="D68" s="11"/>
      <c r="E68" s="17"/>
      <c r="F68" s="11"/>
      <c r="G68" s="11"/>
      <c r="H68" s="11"/>
      <c r="I68" s="11"/>
      <c r="J68" s="13"/>
      <c r="K68" s="11"/>
      <c r="L68" s="11"/>
      <c r="M68" s="11"/>
      <c r="N68" s="14"/>
      <c r="O68" s="15"/>
      <c r="P68" s="15"/>
      <c r="Q68" s="16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</row>
    <row r="69" spans="1:28" ht="20" customHeight="1" x14ac:dyDescent="0.25">
      <c r="A69" s="11"/>
      <c r="B69" s="11"/>
      <c r="C69" s="11"/>
      <c r="D69" s="11"/>
      <c r="E69" s="17"/>
      <c r="F69" s="11"/>
      <c r="G69" s="11"/>
      <c r="H69" s="11"/>
      <c r="I69" s="11"/>
      <c r="J69" s="13"/>
      <c r="K69" s="11"/>
      <c r="L69" s="11"/>
      <c r="M69" s="11"/>
      <c r="N69" s="14"/>
      <c r="O69" s="15"/>
      <c r="P69" s="15"/>
      <c r="Q69" s="16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</row>
    <row r="70" spans="1:28" ht="20" customHeight="1" x14ac:dyDescent="0.25">
      <c r="A70" s="11"/>
      <c r="B70" s="11"/>
      <c r="C70" s="11"/>
      <c r="D70" s="11"/>
      <c r="E70" s="17"/>
      <c r="F70" s="11"/>
      <c r="G70" s="11"/>
      <c r="H70" s="11"/>
      <c r="I70" s="11"/>
      <c r="J70" s="13"/>
      <c r="K70" s="11"/>
      <c r="L70" s="11"/>
      <c r="M70" s="11"/>
      <c r="N70" s="14"/>
      <c r="O70" s="15"/>
      <c r="P70" s="15"/>
      <c r="Q70" s="16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</row>
    <row r="71" spans="1:28" ht="20" customHeight="1" x14ac:dyDescent="0.25">
      <c r="A71" s="11"/>
      <c r="B71" s="11"/>
      <c r="C71" s="11"/>
      <c r="D71" s="11"/>
      <c r="E71" s="17"/>
      <c r="F71" s="11"/>
      <c r="G71" s="11"/>
      <c r="H71" s="11"/>
      <c r="I71" s="11"/>
      <c r="J71" s="13"/>
      <c r="K71" s="11"/>
      <c r="L71" s="11"/>
      <c r="M71" s="11"/>
      <c r="N71" s="14"/>
      <c r="O71" s="15"/>
      <c r="P71" s="15"/>
      <c r="Q71" s="16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</row>
    <row r="72" spans="1:28" ht="20" customHeight="1" x14ac:dyDescent="0.25">
      <c r="A72" s="11"/>
      <c r="B72" s="11"/>
      <c r="C72" s="11"/>
      <c r="D72" s="11"/>
      <c r="E72" s="17"/>
      <c r="F72" s="11"/>
      <c r="G72" s="11"/>
      <c r="H72" s="11"/>
      <c r="I72" s="11"/>
      <c r="J72" s="13"/>
      <c r="K72" s="11"/>
      <c r="L72" s="11"/>
      <c r="M72" s="11"/>
      <c r="N72" s="14"/>
      <c r="O72" s="15"/>
      <c r="P72" s="15"/>
      <c r="Q72" s="16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</row>
    <row r="73" spans="1:28" ht="20" customHeight="1" x14ac:dyDescent="0.25">
      <c r="A73" s="11"/>
      <c r="B73" s="11"/>
      <c r="C73" s="11"/>
      <c r="D73" s="11"/>
      <c r="E73" s="11"/>
      <c r="F73" s="11"/>
      <c r="G73" s="11"/>
      <c r="H73" s="11"/>
      <c r="I73" s="11"/>
      <c r="J73" s="3"/>
      <c r="K73" s="11"/>
      <c r="L73" s="11"/>
      <c r="M73" s="11"/>
      <c r="N73" s="8"/>
      <c r="O73" s="6"/>
      <c r="P73" s="6"/>
      <c r="Q73" s="6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</row>
    <row r="74" spans="1:28" ht="20" customHeight="1" x14ac:dyDescent="0.25">
      <c r="A74" s="11"/>
      <c r="B74" s="11"/>
      <c r="C74" s="11"/>
      <c r="D74" s="11"/>
      <c r="E74" s="11"/>
      <c r="F74" s="11"/>
      <c r="G74" s="11"/>
      <c r="H74" s="11"/>
      <c r="I74" s="11"/>
      <c r="J74" s="3"/>
      <c r="K74" s="11"/>
      <c r="L74" s="11"/>
      <c r="M74" s="11"/>
      <c r="N74" s="8"/>
      <c r="O74" s="6"/>
      <c r="P74" s="6"/>
      <c r="Q74" s="6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</row>
    <row r="75" spans="1:28" ht="20" customHeight="1" x14ac:dyDescent="0.25">
      <c r="A75" s="11"/>
      <c r="B75" s="11"/>
      <c r="C75" s="11"/>
      <c r="D75" s="11"/>
      <c r="E75" s="2"/>
      <c r="F75" s="2"/>
      <c r="G75" s="2"/>
      <c r="H75" s="2"/>
      <c r="I75" s="5"/>
      <c r="J75" s="4"/>
      <c r="K75" s="2"/>
      <c r="L75" s="5"/>
      <c r="M75" s="2"/>
      <c r="N75" s="4"/>
      <c r="O75" s="7"/>
      <c r="P75" s="7"/>
      <c r="Q75" s="7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</row>
  </sheetData>
  <mergeCells count="15">
    <mergeCell ref="A59:C59"/>
    <mergeCell ref="A60:C65"/>
    <mergeCell ref="A39:C44"/>
    <mergeCell ref="A45:C45"/>
    <mergeCell ref="A46:C51"/>
    <mergeCell ref="A52:C52"/>
    <mergeCell ref="A53:C58"/>
    <mergeCell ref="A1:C1"/>
    <mergeCell ref="A38:C38"/>
    <mergeCell ref="A2:C6"/>
    <mergeCell ref="A19:C23"/>
    <mergeCell ref="A24:C28"/>
    <mergeCell ref="A8:C17"/>
    <mergeCell ref="A7:C7"/>
    <mergeCell ref="A18:C18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zenieth</dc:creator>
  <cp:lastModifiedBy>x l</cp:lastModifiedBy>
  <dcterms:created xsi:type="dcterms:W3CDTF">2015-06-05T18:19:34Z</dcterms:created>
  <dcterms:modified xsi:type="dcterms:W3CDTF">2026-04-11T12:34:59Z</dcterms:modified>
</cp:coreProperties>
</file>