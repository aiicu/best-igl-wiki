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E:\apex-stats\"/>
    </mc:Choice>
  </mc:AlternateContent>
  <xr:revisionPtr revIDLastSave="0" documentId="13_ncr:1_{C923F00A-F9C8-4F4A-87DF-7B18DB5066FF}" xr6:coauthVersionLast="47" xr6:coauthVersionMax="47" xr10:uidLastSave="{00000000-0000-0000-0000-000000000000}"/>
  <bookViews>
    <workbookView xWindow="-31087" yWindow="-109" windowWidth="31196" windowHeight="18974" xr2:uid="{00000000-000D-0000-FFFF-FFFF00000000}"/>
  </bookViews>
  <sheets>
    <sheet name="Sheet1" sheetId="1" r:id="rId1"/>
  </sheets>
  <calcPr calcId="191029" forceFullCalc="1"/>
</workbook>
</file>

<file path=xl/calcChain.xml><?xml version="1.0" encoding="utf-8"?>
<calcChain xmlns="http://schemas.openxmlformats.org/spreadsheetml/2006/main">
  <c r="N120" i="1" l="1"/>
  <c r="M120" i="1"/>
  <c r="J120" i="1"/>
  <c r="N119" i="1"/>
  <c r="M119" i="1"/>
  <c r="J119" i="1"/>
  <c r="N117" i="1"/>
  <c r="M117" i="1"/>
  <c r="J117" i="1"/>
  <c r="N116" i="1"/>
  <c r="M116" i="1"/>
  <c r="J116" i="1"/>
  <c r="N115" i="1"/>
  <c r="M115" i="1"/>
  <c r="J115" i="1"/>
  <c r="N114" i="1"/>
  <c r="M114" i="1"/>
  <c r="J114" i="1"/>
  <c r="N112" i="1"/>
  <c r="M112" i="1"/>
  <c r="J112" i="1"/>
  <c r="N108" i="1"/>
  <c r="M108" i="1"/>
  <c r="J108" i="1"/>
  <c r="N104" i="1"/>
  <c r="M104" i="1"/>
  <c r="J104" i="1"/>
  <c r="N100" i="1"/>
  <c r="M100" i="1"/>
  <c r="J100" i="1"/>
  <c r="N96" i="1"/>
  <c r="M96" i="1"/>
  <c r="J96" i="1"/>
  <c r="N95" i="1"/>
  <c r="M95" i="1"/>
  <c r="J95" i="1"/>
  <c r="N94" i="1"/>
  <c r="M94" i="1"/>
  <c r="J94" i="1"/>
  <c r="N93" i="1"/>
  <c r="M93" i="1"/>
  <c r="J93" i="1"/>
  <c r="N92" i="1"/>
  <c r="M92" i="1"/>
  <c r="J92" i="1"/>
  <c r="N91" i="1"/>
  <c r="M91" i="1"/>
  <c r="J91" i="1"/>
  <c r="N90" i="1"/>
  <c r="M90" i="1"/>
  <c r="J90" i="1"/>
  <c r="N88" i="1"/>
  <c r="M88" i="1"/>
  <c r="J88" i="1"/>
  <c r="N80" i="1"/>
  <c r="M80" i="1"/>
  <c r="J80" i="1"/>
  <c r="N72" i="1"/>
  <c r="M72" i="1"/>
  <c r="J72" i="1"/>
  <c r="N70" i="1"/>
  <c r="M70" i="1"/>
  <c r="J70" i="1"/>
  <c r="N69" i="1"/>
  <c r="M69" i="1"/>
  <c r="J69" i="1"/>
  <c r="N68" i="1"/>
  <c r="M68" i="1"/>
  <c r="J68" i="1"/>
  <c r="N67" i="1"/>
  <c r="M67" i="1"/>
  <c r="J67" i="1"/>
  <c r="N66" i="1"/>
  <c r="M66" i="1"/>
  <c r="J66" i="1"/>
  <c r="N63" i="1"/>
  <c r="M63" i="1"/>
  <c r="J63" i="1"/>
  <c r="N61" i="1"/>
  <c r="M61" i="1"/>
  <c r="J61" i="1"/>
  <c r="N60" i="1"/>
  <c r="M60" i="1"/>
  <c r="J60" i="1"/>
  <c r="N59" i="1"/>
  <c r="M59" i="1"/>
  <c r="J59" i="1"/>
  <c r="N58" i="1"/>
  <c r="M58" i="1"/>
  <c r="J58" i="1"/>
  <c r="N55" i="1"/>
  <c r="M55" i="1"/>
  <c r="J55" i="1"/>
  <c r="N53" i="1"/>
  <c r="M53" i="1"/>
  <c r="J53" i="1"/>
  <c r="N52" i="1"/>
  <c r="M52" i="1"/>
  <c r="J52" i="1"/>
  <c r="N50" i="1"/>
  <c r="M50" i="1"/>
  <c r="J50" i="1"/>
  <c r="N47" i="1"/>
  <c r="M47" i="1"/>
  <c r="J47" i="1"/>
  <c r="N46" i="1"/>
  <c r="M46" i="1"/>
  <c r="J46" i="1"/>
  <c r="N45" i="1"/>
  <c r="M45" i="1"/>
  <c r="J45" i="1"/>
  <c r="N44" i="1"/>
  <c r="M44" i="1"/>
  <c r="J44" i="1"/>
  <c r="N43" i="1"/>
  <c r="M43" i="1"/>
  <c r="J43" i="1"/>
  <c r="N42" i="1"/>
  <c r="M42" i="1"/>
  <c r="J42" i="1"/>
  <c r="N37" i="1"/>
  <c r="M37" i="1"/>
  <c r="J37" i="1"/>
  <c r="N34" i="1"/>
  <c r="M34" i="1"/>
  <c r="J34" i="1"/>
  <c r="N29" i="1"/>
  <c r="M29" i="1"/>
  <c r="J29" i="1"/>
  <c r="N28" i="1"/>
  <c r="M28" i="1"/>
  <c r="J28" i="1"/>
  <c r="N27" i="1"/>
  <c r="M27" i="1"/>
  <c r="J27" i="1"/>
  <c r="N26" i="1"/>
  <c r="M26" i="1"/>
  <c r="J26" i="1"/>
  <c r="N22" i="1"/>
  <c r="M22" i="1"/>
  <c r="J22" i="1"/>
  <c r="N21" i="1"/>
  <c r="M21" i="1"/>
  <c r="J21" i="1"/>
  <c r="N20" i="1"/>
  <c r="M20" i="1"/>
  <c r="J20" i="1"/>
  <c r="N19" i="1"/>
  <c r="M19" i="1"/>
  <c r="J19" i="1"/>
  <c r="N18" i="1"/>
  <c r="M18" i="1"/>
  <c r="J18" i="1"/>
  <c r="N13" i="1"/>
  <c r="M13" i="1"/>
  <c r="J13" i="1"/>
  <c r="N11" i="1"/>
  <c r="M11" i="1"/>
  <c r="J11" i="1"/>
  <c r="N10" i="1"/>
  <c r="M10" i="1"/>
  <c r="J10" i="1"/>
  <c r="N6" i="1"/>
  <c r="M6" i="1"/>
  <c r="J6" i="1"/>
  <c r="N5" i="1"/>
  <c r="M5" i="1"/>
  <c r="J5" i="1"/>
  <c r="N4" i="1"/>
  <c r="M4" i="1"/>
  <c r="J4" i="1"/>
  <c r="N3" i="1"/>
  <c r="M3" i="1"/>
  <c r="J3" i="1"/>
  <c r="N2" i="1"/>
  <c r="M2" i="1"/>
  <c r="J2" i="1"/>
</calcChain>
</file>

<file path=xl/sharedStrings.xml><?xml version="1.0" encoding="utf-8"?>
<sst xmlns="http://schemas.openxmlformats.org/spreadsheetml/2006/main" count="943" uniqueCount="38">
  <si>
    <t>比赛</t>
  </si>
  <si>
    <t>选手</t>
  </si>
  <si>
    <t>队伍排名</t>
  </si>
  <si>
    <t>Games</t>
  </si>
  <si>
    <t>kills</t>
  </si>
  <si>
    <t>Assists</t>
  </si>
  <si>
    <t>Deaths</t>
  </si>
  <si>
    <t>KA/D</t>
  </si>
  <si>
    <t>Dmg dealt</t>
  </si>
  <si>
    <t>Dmg taken</t>
  </si>
  <si>
    <t>Dmg diff</t>
  </si>
  <si>
    <t>Dmg dealt/Games</t>
  </si>
  <si>
    <t>Top 10 %</t>
  </si>
  <si>
    <t>T10 -&gt; T5 %</t>
  </si>
  <si>
    <t>T5 -&gt; T1 %</t>
  </si>
  <si>
    <t>APAC-S Year6-s1</t>
  </si>
  <si>
    <t>Kassa</t>
  </si>
  <si>
    <t>CrazyCong</t>
  </si>
  <si>
    <t>3mz</t>
  </si>
  <si>
    <t>xd</t>
  </si>
  <si>
    <t>Bieyun</t>
  </si>
  <si>
    <t>Jacky</t>
  </si>
  <si>
    <t>*</t>
  </si>
  <si>
    <t>Mingyue</t>
  </si>
  <si>
    <t>Y5-Championship</t>
  </si>
  <si>
    <t>APAC-S Y5-Split2</t>
  </si>
  <si>
    <t>Y5-S1 Playoffs/EWC</t>
  </si>
  <si>
    <t>Y5-S1 Open</t>
  </si>
  <si>
    <t>APAC-S Y5-Split1</t>
  </si>
  <si>
    <t>Y4-Championship</t>
  </si>
  <si>
    <t>Y4-S2 Playoffs</t>
  </si>
  <si>
    <t>APAC-S Y4-Split2</t>
  </si>
  <si>
    <t>Y4-S1 EWC</t>
  </si>
  <si>
    <t>Y4-S1 Playoffs</t>
  </si>
  <si>
    <t>APAC-S Y4-Split1</t>
  </si>
  <si>
    <t>Y3-Championship</t>
  </si>
  <si>
    <t>Y3-S2 Playoffs</t>
  </si>
  <si>
    <t>APAC-S Y3-Split2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</si>
</sst>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76" formatCode="[Color13][&lt;11]0;[Color3][&gt;20]0;[Color10]0"/>
    <numFmt numFmtId="177" formatCode="[Color13][&gt;2.4]0.00;[Color3][&lt;1.2]0.00;[Color10]0.00"/>
    <numFmt numFmtId="178" formatCode="[Color13][&gt;600]0.00;[Color3][&lt;350]0.00;[Color10]0.00"/>
    <numFmt numFmtId="179" formatCode="[Color13][&gt;0.6]0.0%;[Color3][&lt;0.4]0.0%;[Color10]0.0%"/>
    <numFmt numFmtId="180" formatCode="[Color13][&gt;0.24]0.0%;[Color3][&lt;0.16]0.0%;[Color10]0.0%"/>
  </numFmts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/>
    <xf numFmtId="176" fontId="0" fillId="0" borderId="0" xfId="0" applyNumberFormat="1" applyAlignment="1">
      <alignment horizontal="center" vertical="center"/>
    </xf>
    <xf numFmtId="177" fontId="0" fillId="0" borderId="0" xfId="0" applyNumberFormat="1" applyAlignment="1">
      <alignment horizontal="center" vertical="center"/>
    </xf>
    <xf numFmtId="178" fontId="0" fillId="0" borderId="0" xfId="0" applyNumberFormat="1" applyAlignment="1">
      <alignment horizontal="center" vertical="center"/>
    </xf>
    <xf numFmtId="179" fontId="0" fillId="0" borderId="0" xfId="0" applyNumberFormat="1" applyAlignment="1">
      <alignment horizontal="center" vertical="center"/>
    </xf>
    <xf numFmtId="180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120"/>
  <sheetViews>
    <sheetView tabSelected="1" topLeftCell="A92" zoomScaleNormal="100" workbookViewId="0">
      <selection activeCell="S109" sqref="S109"/>
    </sheetView>
  </sheetViews>
  <sheetFormatPr defaultRowHeight="13.95" x14ac:dyDescent="0.25"/>
  <cols>
    <col min="1" max="3" width="13" style="2" customWidth="1"/>
    <col min="4" max="4" width="18.6640625" style="2" customWidth="1"/>
    <col min="5" max="5" width="12.77734375" style="2" customWidth="1"/>
    <col min="6" max="13" width="13" style="2" customWidth="1"/>
    <col min="14" max="14" width="17.33203125" style="2" customWidth="1"/>
    <col min="15" max="15" width="12.77734375" style="2" customWidth="1"/>
    <col min="16" max="17" width="13" style="2" customWidth="1"/>
    <col min="18" max="20" width="12.77734375" style="2" customWidth="1"/>
  </cols>
  <sheetData>
    <row r="1" spans="1:17" ht="39.950000000000003" customHeight="1" x14ac:dyDescent="0.25">
      <c r="A1" s="10" t="s">
        <v>0</v>
      </c>
      <c r="B1" s="11"/>
      <c r="C1" s="11"/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</row>
    <row r="2" spans="1:17" ht="20" customHeight="1" x14ac:dyDescent="0.25">
      <c r="A2" s="10" t="s">
        <v>15</v>
      </c>
      <c r="B2" s="11"/>
      <c r="C2" s="11"/>
      <c r="D2" s="1" t="s">
        <v>16</v>
      </c>
      <c r="E2" s="3">
        <v>3</v>
      </c>
      <c r="F2" s="1">
        <v>44</v>
      </c>
      <c r="G2" s="1">
        <v>42</v>
      </c>
      <c r="H2" s="1">
        <v>60</v>
      </c>
      <c r="I2" s="1">
        <v>44</v>
      </c>
      <c r="J2" s="4">
        <f>(G2+H2)/I2</f>
        <v>2.3181818181818183</v>
      </c>
      <c r="K2" s="1">
        <v>38044</v>
      </c>
      <c r="L2" s="1">
        <v>33907</v>
      </c>
      <c r="M2" s="1">
        <f>K2-L2</f>
        <v>4137</v>
      </c>
      <c r="N2" s="5">
        <f>K2/F2</f>
        <v>864.63636363636363</v>
      </c>
      <c r="O2" s="6">
        <v>0.61399999999999999</v>
      </c>
      <c r="P2" s="6">
        <v>0.77800000000000002</v>
      </c>
      <c r="Q2" s="7">
        <v>9.5000000000000001E-2</v>
      </c>
    </row>
    <row r="3" spans="1:17" ht="20" customHeight="1" x14ac:dyDescent="0.25">
      <c r="A3" s="11"/>
      <c r="B3" s="11"/>
      <c r="C3" s="11"/>
      <c r="D3" s="1" t="s">
        <v>17</v>
      </c>
      <c r="E3" s="3">
        <v>1</v>
      </c>
      <c r="F3" s="1">
        <v>44</v>
      </c>
      <c r="G3" s="1">
        <v>62</v>
      </c>
      <c r="H3" s="1">
        <v>61</v>
      </c>
      <c r="I3" s="1">
        <v>43</v>
      </c>
      <c r="J3" s="4">
        <f>(G3+H3)/I3</f>
        <v>2.86046511627907</v>
      </c>
      <c r="K3" s="1">
        <v>32785</v>
      </c>
      <c r="L3" s="1">
        <v>24372</v>
      </c>
      <c r="M3" s="1">
        <f>K3-L3</f>
        <v>8413</v>
      </c>
      <c r="N3" s="5">
        <f>K3/F3</f>
        <v>745.11363636363637</v>
      </c>
      <c r="O3" s="6">
        <v>0.65900000000000003</v>
      </c>
      <c r="P3" s="6">
        <v>0.69</v>
      </c>
      <c r="Q3" s="7">
        <v>0.2</v>
      </c>
    </row>
    <row r="4" spans="1:17" ht="20" customHeight="1" x14ac:dyDescent="0.25">
      <c r="A4" s="11"/>
      <c r="B4" s="11"/>
      <c r="C4" s="11"/>
      <c r="D4" s="1" t="s">
        <v>18</v>
      </c>
      <c r="E4" s="3">
        <v>23</v>
      </c>
      <c r="F4" s="1">
        <v>36</v>
      </c>
      <c r="G4" s="1">
        <v>25</v>
      </c>
      <c r="H4" s="1">
        <v>31</v>
      </c>
      <c r="I4" s="1">
        <v>37</v>
      </c>
      <c r="J4" s="4">
        <f>(G4+H4)/I4</f>
        <v>1.5135135135135136</v>
      </c>
      <c r="K4" s="1">
        <v>20473</v>
      </c>
      <c r="L4" s="1">
        <v>23721</v>
      </c>
      <c r="M4" s="1">
        <f>K4-L4</f>
        <v>-3248</v>
      </c>
      <c r="N4" s="5">
        <f>K4/F4</f>
        <v>568.69444444444446</v>
      </c>
      <c r="O4" s="6">
        <v>0.47199999999999998</v>
      </c>
      <c r="P4" s="6">
        <v>0.35299999999999998</v>
      </c>
      <c r="Q4" s="7">
        <v>0</v>
      </c>
    </row>
    <row r="5" spans="1:17" ht="20" customHeight="1" x14ac:dyDescent="0.25">
      <c r="A5" s="11"/>
      <c r="B5" s="11"/>
      <c r="C5" s="11"/>
      <c r="D5" s="1" t="s">
        <v>19</v>
      </c>
      <c r="E5" s="3">
        <v>4</v>
      </c>
      <c r="F5" s="1">
        <v>44</v>
      </c>
      <c r="G5" s="1">
        <v>44</v>
      </c>
      <c r="H5" s="1">
        <v>63</v>
      </c>
      <c r="I5" s="1">
        <v>44</v>
      </c>
      <c r="J5" s="4">
        <f>(G5+H5)/I5</f>
        <v>2.4318181818181817</v>
      </c>
      <c r="K5" s="1">
        <v>28624</v>
      </c>
      <c r="L5" s="1">
        <v>26622</v>
      </c>
      <c r="M5" s="1">
        <f>K5-L5</f>
        <v>2002</v>
      </c>
      <c r="N5" s="5">
        <f>K5/F5</f>
        <v>650.5454545454545</v>
      </c>
      <c r="O5" s="6">
        <v>0.61399999999999999</v>
      </c>
      <c r="P5" s="6">
        <v>0.59299999999999997</v>
      </c>
      <c r="Q5" s="7">
        <v>0.25</v>
      </c>
    </row>
    <row r="6" spans="1:17" ht="20" customHeight="1" x14ac:dyDescent="0.25">
      <c r="A6" s="11"/>
      <c r="B6" s="11"/>
      <c r="C6" s="11"/>
      <c r="D6" s="1" t="s">
        <v>20</v>
      </c>
      <c r="E6" s="3">
        <v>14</v>
      </c>
      <c r="F6" s="1">
        <v>44</v>
      </c>
      <c r="G6" s="1">
        <v>32</v>
      </c>
      <c r="H6" s="1">
        <v>50</v>
      </c>
      <c r="I6" s="1">
        <v>46</v>
      </c>
      <c r="J6" s="4">
        <f>(G6+H6)/I6</f>
        <v>1.7826086956521738</v>
      </c>
      <c r="K6" s="1">
        <v>25908</v>
      </c>
      <c r="L6" s="1">
        <v>34120</v>
      </c>
      <c r="M6" s="1">
        <f>K6-L6</f>
        <v>-8212</v>
      </c>
      <c r="N6" s="5">
        <f>K6/F6</f>
        <v>588.81818181818187</v>
      </c>
      <c r="O6" s="6">
        <v>0.63600000000000001</v>
      </c>
      <c r="P6" s="6">
        <v>0.32100000000000001</v>
      </c>
      <c r="Q6" s="7">
        <v>0.222</v>
      </c>
    </row>
    <row r="7" spans="1:17" ht="39.950000000000003" customHeight="1" x14ac:dyDescent="0.25">
      <c r="A7" s="11"/>
      <c r="B7" s="11"/>
      <c r="C7" s="11"/>
      <c r="D7" s="1" t="s">
        <v>21</v>
      </c>
      <c r="E7" s="3" t="s">
        <v>22</v>
      </c>
      <c r="F7" s="1" t="s">
        <v>22</v>
      </c>
      <c r="G7" s="1" t="s">
        <v>22</v>
      </c>
      <c r="H7" s="1" t="s">
        <v>22</v>
      </c>
      <c r="I7" s="1" t="s">
        <v>22</v>
      </c>
      <c r="J7" s="4" t="s">
        <v>22</v>
      </c>
      <c r="K7" s="1" t="s">
        <v>22</v>
      </c>
      <c r="L7" s="1" t="s">
        <v>22</v>
      </c>
      <c r="M7" s="1" t="s">
        <v>22</v>
      </c>
      <c r="N7" s="5" t="s">
        <v>22</v>
      </c>
      <c r="O7" s="6" t="s">
        <v>22</v>
      </c>
      <c r="P7" s="6" t="s">
        <v>22</v>
      </c>
      <c r="Q7" s="7" t="s">
        <v>22</v>
      </c>
    </row>
    <row r="8" spans="1:17" ht="20" customHeight="1" x14ac:dyDescent="0.25">
      <c r="A8" s="11"/>
      <c r="B8" s="11"/>
      <c r="C8" s="11"/>
      <c r="D8" s="1" t="s">
        <v>23</v>
      </c>
      <c r="E8" s="3" t="s">
        <v>22</v>
      </c>
      <c r="F8" s="1" t="s">
        <v>22</v>
      </c>
      <c r="G8" s="1" t="s">
        <v>22</v>
      </c>
      <c r="H8" s="1" t="s">
        <v>22</v>
      </c>
      <c r="I8" s="1" t="s">
        <v>22</v>
      </c>
      <c r="J8" s="4" t="s">
        <v>22</v>
      </c>
      <c r="K8" s="1" t="s">
        <v>22</v>
      </c>
      <c r="L8" s="1" t="s">
        <v>22</v>
      </c>
      <c r="M8" s="1" t="s">
        <v>22</v>
      </c>
      <c r="N8" s="5" t="s">
        <v>22</v>
      </c>
      <c r="O8" s="6" t="s">
        <v>22</v>
      </c>
      <c r="P8" s="6" t="s">
        <v>22</v>
      </c>
      <c r="Q8" s="7" t="s">
        <v>22</v>
      </c>
    </row>
    <row r="9" spans="1:17" s="9" customFormat="1" ht="39.950000000000003" customHeight="1" x14ac:dyDescent="0.25">
      <c r="A9" s="10" t="s">
        <v>0</v>
      </c>
      <c r="B9" s="11"/>
      <c r="C9" s="11"/>
      <c r="D9" s="8" t="s">
        <v>1</v>
      </c>
      <c r="E9" s="8" t="s">
        <v>2</v>
      </c>
      <c r="F9" s="8" t="s">
        <v>3</v>
      </c>
      <c r="G9" s="8" t="s">
        <v>4</v>
      </c>
      <c r="H9" s="8" t="s">
        <v>5</v>
      </c>
      <c r="I9" s="8" t="s">
        <v>6</v>
      </c>
      <c r="J9" s="8" t="s">
        <v>7</v>
      </c>
      <c r="K9" s="8" t="s">
        <v>8</v>
      </c>
      <c r="L9" s="8" t="s">
        <v>9</v>
      </c>
      <c r="M9" s="8" t="s">
        <v>10</v>
      </c>
      <c r="N9" s="8" t="s">
        <v>11</v>
      </c>
      <c r="O9" s="8" t="s">
        <v>12</v>
      </c>
      <c r="P9" s="8" t="s">
        <v>13</v>
      </c>
      <c r="Q9" s="8" t="s">
        <v>14</v>
      </c>
    </row>
    <row r="10" spans="1:17" s="9" customFormat="1" ht="20" customHeight="1" x14ac:dyDescent="0.25">
      <c r="A10" s="10" t="s">
        <v>24</v>
      </c>
      <c r="B10" s="11"/>
      <c r="C10" s="11"/>
      <c r="D10" s="8" t="s">
        <v>16</v>
      </c>
      <c r="E10" s="3">
        <v>25</v>
      </c>
      <c r="F10" s="8">
        <v>30</v>
      </c>
      <c r="G10" s="8">
        <v>17</v>
      </c>
      <c r="H10" s="8">
        <v>21</v>
      </c>
      <c r="I10" s="8">
        <v>35</v>
      </c>
      <c r="J10" s="4">
        <f>(G10+H10)/I10</f>
        <v>1.0857142857142856</v>
      </c>
      <c r="K10" s="8">
        <v>15917</v>
      </c>
      <c r="L10" s="8">
        <v>19533</v>
      </c>
      <c r="M10" s="8">
        <f>K10-L10</f>
        <v>-3616</v>
      </c>
      <c r="N10" s="5">
        <f>K10/F10</f>
        <v>530.56666666666672</v>
      </c>
      <c r="O10" s="6">
        <v>0.433</v>
      </c>
      <c r="P10" s="6">
        <v>0.38500000000000001</v>
      </c>
      <c r="Q10" s="7">
        <v>0</v>
      </c>
    </row>
    <row r="11" spans="1:17" s="9" customFormat="1" ht="20" customHeight="1" x14ac:dyDescent="0.25">
      <c r="A11" s="11"/>
      <c r="B11" s="11"/>
      <c r="C11" s="11"/>
      <c r="D11" s="8" t="s">
        <v>17</v>
      </c>
      <c r="E11" s="3">
        <v>23</v>
      </c>
      <c r="F11" s="8">
        <v>30</v>
      </c>
      <c r="G11" s="8">
        <v>13</v>
      </c>
      <c r="H11" s="8">
        <v>20</v>
      </c>
      <c r="I11" s="8">
        <v>31</v>
      </c>
      <c r="J11" s="4">
        <f>(G11+H11)/I11</f>
        <v>1.064516129032258</v>
      </c>
      <c r="K11" s="8">
        <v>14668</v>
      </c>
      <c r="L11" s="8">
        <v>15865</v>
      </c>
      <c r="M11" s="8">
        <f>K11-L11</f>
        <v>-1197</v>
      </c>
      <c r="N11" s="5">
        <f>K11/F11</f>
        <v>488.93333333333334</v>
      </c>
      <c r="O11" s="6">
        <v>0.5</v>
      </c>
      <c r="P11" s="6">
        <v>0.66700000000000004</v>
      </c>
      <c r="Q11" s="7">
        <v>0.1</v>
      </c>
    </row>
    <row r="12" spans="1:17" s="9" customFormat="1" ht="20" customHeight="1" x14ac:dyDescent="0.25">
      <c r="A12" s="11"/>
      <c r="B12" s="11"/>
      <c r="C12" s="11"/>
      <c r="D12" s="8" t="s">
        <v>18</v>
      </c>
      <c r="E12" s="3" t="s">
        <v>22</v>
      </c>
      <c r="F12" s="8" t="s">
        <v>22</v>
      </c>
      <c r="G12" s="8" t="s">
        <v>22</v>
      </c>
      <c r="H12" s="8" t="s">
        <v>22</v>
      </c>
      <c r="I12" s="8" t="s">
        <v>22</v>
      </c>
      <c r="J12" s="4" t="s">
        <v>22</v>
      </c>
      <c r="K12" s="8" t="s">
        <v>22</v>
      </c>
      <c r="L12" s="8" t="s">
        <v>22</v>
      </c>
      <c r="M12" s="8" t="s">
        <v>22</v>
      </c>
      <c r="N12" s="5" t="s">
        <v>22</v>
      </c>
      <c r="O12" s="6" t="s">
        <v>22</v>
      </c>
      <c r="P12" s="6" t="s">
        <v>22</v>
      </c>
      <c r="Q12" s="7" t="s">
        <v>22</v>
      </c>
    </row>
    <row r="13" spans="1:17" s="9" customFormat="1" ht="20" customHeight="1" x14ac:dyDescent="0.25">
      <c r="A13" s="11"/>
      <c r="B13" s="11"/>
      <c r="C13" s="11"/>
      <c r="D13" s="8" t="s">
        <v>19</v>
      </c>
      <c r="E13" s="3">
        <v>40</v>
      </c>
      <c r="F13" s="8">
        <v>24</v>
      </c>
      <c r="G13" s="8">
        <v>3</v>
      </c>
      <c r="H13" s="8">
        <v>11</v>
      </c>
      <c r="I13" s="8">
        <v>24</v>
      </c>
      <c r="J13" s="4">
        <f>(G13+H13)/I13</f>
        <v>0.58333333333333337</v>
      </c>
      <c r="K13" s="8">
        <v>12794</v>
      </c>
      <c r="L13" s="8">
        <v>17451</v>
      </c>
      <c r="M13" s="8">
        <f>K13-L13</f>
        <v>-4657</v>
      </c>
      <c r="N13" s="5">
        <f>K13/F13</f>
        <v>533.08333333333337</v>
      </c>
      <c r="O13" s="6">
        <v>0.25</v>
      </c>
      <c r="P13" s="6">
        <v>0.66700000000000004</v>
      </c>
      <c r="Q13" s="7">
        <v>0</v>
      </c>
    </row>
    <row r="14" spans="1:17" s="9" customFormat="1" ht="20" customHeight="1" x14ac:dyDescent="0.25">
      <c r="A14" s="11"/>
      <c r="B14" s="11"/>
      <c r="C14" s="11"/>
      <c r="D14" s="8" t="s">
        <v>20</v>
      </c>
      <c r="E14" s="3" t="s">
        <v>22</v>
      </c>
      <c r="F14" s="8" t="s">
        <v>22</v>
      </c>
      <c r="G14" s="8" t="s">
        <v>22</v>
      </c>
      <c r="H14" s="8" t="s">
        <v>22</v>
      </c>
      <c r="I14" s="8" t="s">
        <v>22</v>
      </c>
      <c r="J14" s="4" t="s">
        <v>22</v>
      </c>
      <c r="K14" s="8" t="s">
        <v>22</v>
      </c>
      <c r="L14" s="8" t="s">
        <v>22</v>
      </c>
      <c r="M14" s="8" t="s">
        <v>22</v>
      </c>
      <c r="N14" s="5" t="s">
        <v>22</v>
      </c>
      <c r="O14" s="6" t="s">
        <v>22</v>
      </c>
      <c r="P14" s="6" t="s">
        <v>22</v>
      </c>
      <c r="Q14" s="7" t="s">
        <v>22</v>
      </c>
    </row>
    <row r="15" spans="1:17" s="9" customFormat="1" ht="39.950000000000003" customHeight="1" x14ac:dyDescent="0.25">
      <c r="A15" s="11"/>
      <c r="B15" s="11"/>
      <c r="C15" s="11"/>
      <c r="D15" s="8" t="s">
        <v>21</v>
      </c>
      <c r="E15" s="3" t="s">
        <v>22</v>
      </c>
      <c r="F15" s="8" t="s">
        <v>22</v>
      </c>
      <c r="G15" s="8" t="s">
        <v>22</v>
      </c>
      <c r="H15" s="8" t="s">
        <v>22</v>
      </c>
      <c r="I15" s="8" t="s">
        <v>22</v>
      </c>
      <c r="J15" s="4" t="s">
        <v>22</v>
      </c>
      <c r="K15" s="8" t="s">
        <v>22</v>
      </c>
      <c r="L15" s="8" t="s">
        <v>22</v>
      </c>
      <c r="M15" s="8" t="s">
        <v>22</v>
      </c>
      <c r="N15" s="5" t="s">
        <v>22</v>
      </c>
      <c r="O15" s="6" t="s">
        <v>22</v>
      </c>
      <c r="P15" s="6" t="s">
        <v>22</v>
      </c>
      <c r="Q15" s="7" t="s">
        <v>22</v>
      </c>
    </row>
    <row r="16" spans="1:17" s="9" customFormat="1" ht="20" customHeight="1" x14ac:dyDescent="0.25">
      <c r="A16" s="11"/>
      <c r="B16" s="11"/>
      <c r="C16" s="11"/>
      <c r="D16" s="8" t="s">
        <v>23</v>
      </c>
      <c r="E16" s="3" t="s">
        <v>22</v>
      </c>
      <c r="F16" s="8" t="s">
        <v>22</v>
      </c>
      <c r="G16" s="8" t="s">
        <v>22</v>
      </c>
      <c r="H16" s="8" t="s">
        <v>22</v>
      </c>
      <c r="I16" s="8" t="s">
        <v>22</v>
      </c>
      <c r="J16" s="4" t="s">
        <v>22</v>
      </c>
      <c r="K16" s="8" t="s">
        <v>22</v>
      </c>
      <c r="L16" s="8" t="s">
        <v>22</v>
      </c>
      <c r="M16" s="8" t="s">
        <v>22</v>
      </c>
      <c r="N16" s="5" t="s">
        <v>22</v>
      </c>
      <c r="O16" s="6" t="s">
        <v>22</v>
      </c>
      <c r="P16" s="6" t="s">
        <v>22</v>
      </c>
      <c r="Q16" s="7" t="s">
        <v>22</v>
      </c>
    </row>
    <row r="17" spans="1:17" s="9" customFormat="1" ht="39.950000000000003" customHeight="1" x14ac:dyDescent="0.25">
      <c r="A17" s="10" t="s">
        <v>0</v>
      </c>
      <c r="B17" s="11"/>
      <c r="C17" s="11"/>
      <c r="D17" s="8" t="s">
        <v>1</v>
      </c>
      <c r="E17" s="8" t="s">
        <v>2</v>
      </c>
      <c r="F17" s="8" t="s">
        <v>3</v>
      </c>
      <c r="G17" s="8" t="s">
        <v>4</v>
      </c>
      <c r="H17" s="8" t="s">
        <v>5</v>
      </c>
      <c r="I17" s="8" t="s">
        <v>6</v>
      </c>
      <c r="J17" s="8" t="s">
        <v>7</v>
      </c>
      <c r="K17" s="8" t="s">
        <v>8</v>
      </c>
      <c r="L17" s="8" t="s">
        <v>9</v>
      </c>
      <c r="M17" s="8" t="s">
        <v>10</v>
      </c>
      <c r="N17" s="8" t="s">
        <v>11</v>
      </c>
      <c r="O17" s="8" t="s">
        <v>12</v>
      </c>
      <c r="P17" s="8" t="s">
        <v>13</v>
      </c>
      <c r="Q17" s="8" t="s">
        <v>14</v>
      </c>
    </row>
    <row r="18" spans="1:17" s="9" customFormat="1" ht="20" customHeight="1" x14ac:dyDescent="0.25">
      <c r="A18" s="10" t="s">
        <v>25</v>
      </c>
      <c r="B18" s="11"/>
      <c r="C18" s="11"/>
      <c r="D18" s="8" t="s">
        <v>16</v>
      </c>
      <c r="E18" s="3">
        <v>19</v>
      </c>
      <c r="F18" s="8">
        <v>44</v>
      </c>
      <c r="G18" s="8">
        <v>39</v>
      </c>
      <c r="H18" s="8">
        <v>44</v>
      </c>
      <c r="I18" s="8">
        <v>52</v>
      </c>
      <c r="J18" s="4">
        <f>(G18+H18)/I18</f>
        <v>1.5961538461538463</v>
      </c>
      <c r="K18" s="8">
        <v>27632</v>
      </c>
      <c r="L18" s="8">
        <v>24475</v>
      </c>
      <c r="M18" s="8">
        <f>K18-L18</f>
        <v>3157</v>
      </c>
      <c r="N18" s="5">
        <f>K18/F18</f>
        <v>628</v>
      </c>
      <c r="O18" s="6">
        <v>0.432</v>
      </c>
      <c r="P18" s="6">
        <v>0.316</v>
      </c>
      <c r="Q18" s="7">
        <v>0</v>
      </c>
    </row>
    <row r="19" spans="1:17" s="9" customFormat="1" ht="20" customHeight="1" x14ac:dyDescent="0.25">
      <c r="A19" s="11"/>
      <c r="B19" s="11"/>
      <c r="C19" s="11"/>
      <c r="D19" s="8" t="s">
        <v>17</v>
      </c>
      <c r="E19" s="3">
        <v>2</v>
      </c>
      <c r="F19" s="8">
        <v>44</v>
      </c>
      <c r="G19" s="8">
        <v>42</v>
      </c>
      <c r="H19" s="8">
        <v>72</v>
      </c>
      <c r="I19" s="8">
        <v>39</v>
      </c>
      <c r="J19" s="4">
        <f>(G19+H19)/I19</f>
        <v>2.9230769230769229</v>
      </c>
      <c r="K19" s="8">
        <v>36750</v>
      </c>
      <c r="L19" s="8">
        <v>31921</v>
      </c>
      <c r="M19" s="8">
        <f>K19-L19</f>
        <v>4829</v>
      </c>
      <c r="N19" s="5">
        <f>K19/F19</f>
        <v>835.22727272727275</v>
      </c>
      <c r="O19" s="6">
        <v>0.72699999999999998</v>
      </c>
      <c r="P19" s="6">
        <v>0.71899999999999997</v>
      </c>
      <c r="Q19" s="7">
        <v>0.34799999999999998</v>
      </c>
    </row>
    <row r="20" spans="1:17" s="9" customFormat="1" ht="20" customHeight="1" x14ac:dyDescent="0.25">
      <c r="A20" s="11"/>
      <c r="B20" s="11"/>
      <c r="C20" s="11"/>
      <c r="D20" s="8" t="s">
        <v>18</v>
      </c>
      <c r="E20" s="3">
        <v>13</v>
      </c>
      <c r="F20" s="8">
        <v>44</v>
      </c>
      <c r="G20" s="8">
        <v>28</v>
      </c>
      <c r="H20" s="8">
        <v>50</v>
      </c>
      <c r="I20" s="8">
        <v>42</v>
      </c>
      <c r="J20" s="4">
        <f>(G20+H20)/I20</f>
        <v>1.8571428571428572</v>
      </c>
      <c r="K20" s="8">
        <v>24161</v>
      </c>
      <c r="L20" s="8">
        <v>29365</v>
      </c>
      <c r="M20" s="8">
        <f>K20-L20</f>
        <v>-5204</v>
      </c>
      <c r="N20" s="5">
        <f>K20/F20</f>
        <v>549.11363636363637</v>
      </c>
      <c r="O20" s="6">
        <v>0.61399999999999999</v>
      </c>
      <c r="P20" s="6">
        <v>0.55600000000000005</v>
      </c>
      <c r="Q20" s="7">
        <v>0.2</v>
      </c>
    </row>
    <row r="21" spans="1:17" s="9" customFormat="1" ht="20" customHeight="1" x14ac:dyDescent="0.25">
      <c r="A21" s="11"/>
      <c r="B21" s="11"/>
      <c r="C21" s="11"/>
      <c r="D21" s="8" t="s">
        <v>19</v>
      </c>
      <c r="E21" s="3">
        <v>12</v>
      </c>
      <c r="F21" s="8">
        <v>44</v>
      </c>
      <c r="G21" s="8">
        <v>39</v>
      </c>
      <c r="H21" s="8">
        <v>57</v>
      </c>
      <c r="I21" s="8">
        <v>40</v>
      </c>
      <c r="J21" s="4">
        <f>(G21+H21)/I21</f>
        <v>2.4</v>
      </c>
      <c r="K21" s="8">
        <v>26072</v>
      </c>
      <c r="L21" s="8">
        <v>25520</v>
      </c>
      <c r="M21" s="8">
        <f>K21-L21</f>
        <v>552</v>
      </c>
      <c r="N21" s="5">
        <f>K21/F21</f>
        <v>592.5454545454545</v>
      </c>
      <c r="O21" s="6">
        <v>0.38600000000000001</v>
      </c>
      <c r="P21" s="6">
        <v>0.35299999999999998</v>
      </c>
      <c r="Q21" s="7">
        <v>0.66700000000000004</v>
      </c>
    </row>
    <row r="22" spans="1:17" s="9" customFormat="1" ht="20" customHeight="1" x14ac:dyDescent="0.25">
      <c r="A22" s="11"/>
      <c r="B22" s="11"/>
      <c r="C22" s="11"/>
      <c r="D22" s="8" t="s">
        <v>20</v>
      </c>
      <c r="E22" s="3">
        <v>20</v>
      </c>
      <c r="F22" s="8">
        <v>44</v>
      </c>
      <c r="G22" s="8">
        <v>30</v>
      </c>
      <c r="H22" s="8">
        <v>33</v>
      </c>
      <c r="I22" s="8">
        <v>42</v>
      </c>
      <c r="J22" s="4">
        <f>(G22+H22)/I22</f>
        <v>1.5</v>
      </c>
      <c r="K22" s="8">
        <v>24499</v>
      </c>
      <c r="L22" s="8">
        <v>29663</v>
      </c>
      <c r="M22" s="8">
        <f>K22-L22</f>
        <v>-5164</v>
      </c>
      <c r="N22" s="5">
        <f>K22/F22</f>
        <v>556.7954545454545</v>
      </c>
      <c r="O22" s="6">
        <v>0.47699999999999998</v>
      </c>
      <c r="P22" s="6">
        <v>0.38100000000000001</v>
      </c>
      <c r="Q22" s="7">
        <v>0.375</v>
      </c>
    </row>
    <row r="23" spans="1:17" s="9" customFormat="1" ht="39.950000000000003" customHeight="1" x14ac:dyDescent="0.25">
      <c r="A23" s="11"/>
      <c r="B23" s="11"/>
      <c r="C23" s="11"/>
      <c r="D23" s="8" t="s">
        <v>21</v>
      </c>
      <c r="E23" s="3" t="s">
        <v>22</v>
      </c>
      <c r="F23" s="8" t="s">
        <v>22</v>
      </c>
      <c r="G23" s="8" t="s">
        <v>22</v>
      </c>
      <c r="H23" s="8" t="s">
        <v>22</v>
      </c>
      <c r="I23" s="8" t="s">
        <v>22</v>
      </c>
      <c r="J23" s="4" t="s">
        <v>22</v>
      </c>
      <c r="K23" s="8" t="s">
        <v>22</v>
      </c>
      <c r="L23" s="8" t="s">
        <v>22</v>
      </c>
      <c r="M23" s="8" t="s">
        <v>22</v>
      </c>
      <c r="N23" s="5" t="s">
        <v>22</v>
      </c>
      <c r="O23" s="6" t="s">
        <v>22</v>
      </c>
      <c r="P23" s="6" t="s">
        <v>22</v>
      </c>
      <c r="Q23" s="7" t="s">
        <v>22</v>
      </c>
    </row>
    <row r="24" spans="1:17" s="9" customFormat="1" ht="20" customHeight="1" x14ac:dyDescent="0.25">
      <c r="A24" s="11"/>
      <c r="B24" s="11"/>
      <c r="C24" s="11"/>
      <c r="D24" s="8" t="s">
        <v>23</v>
      </c>
      <c r="E24" s="3" t="s">
        <v>22</v>
      </c>
      <c r="F24" s="8" t="s">
        <v>22</v>
      </c>
      <c r="G24" s="8" t="s">
        <v>22</v>
      </c>
      <c r="H24" s="8" t="s">
        <v>22</v>
      </c>
      <c r="I24" s="8" t="s">
        <v>22</v>
      </c>
      <c r="J24" s="4" t="s">
        <v>22</v>
      </c>
      <c r="K24" s="8" t="s">
        <v>22</v>
      </c>
      <c r="L24" s="8" t="s">
        <v>22</v>
      </c>
      <c r="M24" s="8" t="s">
        <v>22</v>
      </c>
      <c r="N24" s="5" t="s">
        <v>22</v>
      </c>
      <c r="O24" s="6" t="s">
        <v>22</v>
      </c>
      <c r="P24" s="6" t="s">
        <v>22</v>
      </c>
      <c r="Q24" s="7" t="s">
        <v>22</v>
      </c>
    </row>
    <row r="25" spans="1:17" s="9" customFormat="1" ht="39.950000000000003" customHeight="1" x14ac:dyDescent="0.25">
      <c r="A25" s="10" t="s">
        <v>0</v>
      </c>
      <c r="B25" s="11"/>
      <c r="C25" s="11"/>
      <c r="D25" s="8" t="s">
        <v>1</v>
      </c>
      <c r="E25" s="8" t="s">
        <v>2</v>
      </c>
      <c r="F25" s="8" t="s">
        <v>3</v>
      </c>
      <c r="G25" s="8" t="s">
        <v>4</v>
      </c>
      <c r="H25" s="8" t="s">
        <v>5</v>
      </c>
      <c r="I25" s="8" t="s">
        <v>6</v>
      </c>
      <c r="J25" s="8" t="s">
        <v>7</v>
      </c>
      <c r="K25" s="8" t="s">
        <v>8</v>
      </c>
      <c r="L25" s="8" t="s">
        <v>9</v>
      </c>
      <c r="M25" s="8" t="s">
        <v>10</v>
      </c>
      <c r="N25" s="8" t="s">
        <v>11</v>
      </c>
      <c r="O25" s="8" t="s">
        <v>12</v>
      </c>
      <c r="P25" s="8" t="s">
        <v>13</v>
      </c>
      <c r="Q25" s="8" t="s">
        <v>14</v>
      </c>
    </row>
    <row r="26" spans="1:17" s="9" customFormat="1" ht="20" customHeight="1" x14ac:dyDescent="0.25">
      <c r="A26" s="10" t="s">
        <v>26</v>
      </c>
      <c r="B26" s="11"/>
      <c r="C26" s="11"/>
      <c r="D26" s="8" t="s">
        <v>16</v>
      </c>
      <c r="E26" s="3">
        <v>1</v>
      </c>
      <c r="F26" s="8">
        <v>19</v>
      </c>
      <c r="G26" s="8">
        <v>23</v>
      </c>
      <c r="H26" s="8">
        <v>27</v>
      </c>
      <c r="I26" s="8">
        <v>16</v>
      </c>
      <c r="J26" s="4">
        <f>(G26+H26)/I26</f>
        <v>3.125</v>
      </c>
      <c r="K26" s="8">
        <v>13896</v>
      </c>
      <c r="L26" s="8">
        <v>13984</v>
      </c>
      <c r="M26" s="8">
        <f>K26-L26</f>
        <v>-88</v>
      </c>
      <c r="N26" s="5">
        <f>K26/F26</f>
        <v>731.36842105263156</v>
      </c>
      <c r="O26" s="6">
        <v>0.73699999999999999</v>
      </c>
      <c r="P26" s="6">
        <v>0.64300000000000002</v>
      </c>
      <c r="Q26" s="7">
        <v>0.33300000000000002</v>
      </c>
    </row>
    <row r="27" spans="1:17" s="9" customFormat="1" ht="20" customHeight="1" x14ac:dyDescent="0.25">
      <c r="A27" s="11"/>
      <c r="B27" s="11"/>
      <c r="C27" s="11"/>
      <c r="D27" s="8" t="s">
        <v>17</v>
      </c>
      <c r="E27" s="3">
        <v>5</v>
      </c>
      <c r="F27" s="8">
        <v>19</v>
      </c>
      <c r="G27" s="8">
        <v>12</v>
      </c>
      <c r="H27" s="8">
        <v>22</v>
      </c>
      <c r="I27" s="8">
        <v>18</v>
      </c>
      <c r="J27" s="4">
        <f>(G27+H27)/I27</f>
        <v>1.8888888888888888</v>
      </c>
      <c r="K27" s="8">
        <v>8042</v>
      </c>
      <c r="L27" s="8">
        <v>11394</v>
      </c>
      <c r="M27" s="8">
        <f>K27-L27</f>
        <v>-3352</v>
      </c>
      <c r="N27" s="5">
        <f>K27/F27</f>
        <v>423.26315789473682</v>
      </c>
      <c r="O27" s="6">
        <v>0.63200000000000001</v>
      </c>
      <c r="P27" s="6">
        <v>0.83299999999999996</v>
      </c>
      <c r="Q27" s="7">
        <v>0.1</v>
      </c>
    </row>
    <row r="28" spans="1:17" s="9" customFormat="1" ht="20" customHeight="1" x14ac:dyDescent="0.25">
      <c r="A28" s="11"/>
      <c r="B28" s="11"/>
      <c r="C28" s="11"/>
      <c r="D28" s="8" t="s">
        <v>18</v>
      </c>
      <c r="E28" s="3">
        <v>37</v>
      </c>
      <c r="F28" s="8">
        <v>10</v>
      </c>
      <c r="G28" s="8">
        <v>3</v>
      </c>
      <c r="H28" s="8">
        <v>8</v>
      </c>
      <c r="I28" s="8">
        <v>10</v>
      </c>
      <c r="J28" s="4">
        <f>(G28+H28)/I28</f>
        <v>1.1000000000000001</v>
      </c>
      <c r="K28" s="8">
        <v>2714</v>
      </c>
      <c r="L28" s="8">
        <v>3747</v>
      </c>
      <c r="M28" s="8">
        <f>K28-L28</f>
        <v>-1033</v>
      </c>
      <c r="N28" s="5">
        <f>K28/F28</f>
        <v>271.39999999999998</v>
      </c>
      <c r="O28" s="6">
        <v>0.3</v>
      </c>
      <c r="P28" s="6">
        <v>1</v>
      </c>
      <c r="Q28" s="7">
        <v>0</v>
      </c>
    </row>
    <row r="29" spans="1:17" s="9" customFormat="1" ht="20" customHeight="1" x14ac:dyDescent="0.25">
      <c r="A29" s="11"/>
      <c r="B29" s="11"/>
      <c r="C29" s="11"/>
      <c r="D29" s="8" t="s">
        <v>19</v>
      </c>
      <c r="E29" s="3">
        <v>30</v>
      </c>
      <c r="F29" s="8">
        <v>20</v>
      </c>
      <c r="G29" s="8">
        <v>10</v>
      </c>
      <c r="H29" s="8">
        <v>22</v>
      </c>
      <c r="I29" s="8">
        <v>23</v>
      </c>
      <c r="J29" s="4">
        <f>(G29+H29)/I29</f>
        <v>1.3913043478260869</v>
      </c>
      <c r="K29" s="8">
        <v>12276</v>
      </c>
      <c r="L29" s="8">
        <v>13224</v>
      </c>
      <c r="M29" s="8">
        <f>K29-L29</f>
        <v>-948</v>
      </c>
      <c r="N29" s="5">
        <f>K29/F29</f>
        <v>613.79999999999995</v>
      </c>
      <c r="O29" s="6">
        <v>0.45</v>
      </c>
      <c r="P29" s="6">
        <v>0.33300000000000002</v>
      </c>
      <c r="Q29" s="7">
        <v>0</v>
      </c>
    </row>
    <row r="30" spans="1:17" s="9" customFormat="1" ht="20" customHeight="1" x14ac:dyDescent="0.25">
      <c r="A30" s="11"/>
      <c r="B30" s="11"/>
      <c r="C30" s="11"/>
      <c r="D30" s="8" t="s">
        <v>20</v>
      </c>
      <c r="E30" s="3" t="s">
        <v>22</v>
      </c>
      <c r="F30" s="8" t="s">
        <v>22</v>
      </c>
      <c r="G30" s="8" t="s">
        <v>22</v>
      </c>
      <c r="H30" s="8" t="s">
        <v>22</v>
      </c>
      <c r="I30" s="8" t="s">
        <v>22</v>
      </c>
      <c r="J30" s="4" t="s">
        <v>22</v>
      </c>
      <c r="K30" s="8" t="s">
        <v>22</v>
      </c>
      <c r="L30" s="8" t="s">
        <v>22</v>
      </c>
      <c r="M30" s="8" t="s">
        <v>22</v>
      </c>
      <c r="N30" s="5" t="s">
        <v>22</v>
      </c>
      <c r="O30" s="6" t="s">
        <v>22</v>
      </c>
      <c r="P30" s="6" t="s">
        <v>22</v>
      </c>
      <c r="Q30" s="7" t="s">
        <v>22</v>
      </c>
    </row>
    <row r="31" spans="1:17" s="9" customFormat="1" ht="39.950000000000003" customHeight="1" x14ac:dyDescent="0.25">
      <c r="A31" s="11"/>
      <c r="B31" s="11"/>
      <c r="C31" s="11"/>
      <c r="D31" s="8" t="s">
        <v>21</v>
      </c>
      <c r="E31" s="3" t="s">
        <v>22</v>
      </c>
      <c r="F31" s="8" t="s">
        <v>22</v>
      </c>
      <c r="G31" s="8" t="s">
        <v>22</v>
      </c>
      <c r="H31" s="8" t="s">
        <v>22</v>
      </c>
      <c r="I31" s="8" t="s">
        <v>22</v>
      </c>
      <c r="J31" s="4" t="s">
        <v>22</v>
      </c>
      <c r="K31" s="8" t="s">
        <v>22</v>
      </c>
      <c r="L31" s="8" t="s">
        <v>22</v>
      </c>
      <c r="M31" s="8" t="s">
        <v>22</v>
      </c>
      <c r="N31" s="5" t="s">
        <v>22</v>
      </c>
      <c r="O31" s="6" t="s">
        <v>22</v>
      </c>
      <c r="P31" s="6" t="s">
        <v>22</v>
      </c>
      <c r="Q31" s="7" t="s">
        <v>22</v>
      </c>
    </row>
    <row r="32" spans="1:17" s="9" customFormat="1" ht="20" customHeight="1" x14ac:dyDescent="0.25">
      <c r="A32" s="11"/>
      <c r="B32" s="11"/>
      <c r="C32" s="11"/>
      <c r="D32" s="8" t="s">
        <v>23</v>
      </c>
      <c r="E32" s="3" t="s">
        <v>22</v>
      </c>
      <c r="F32" s="8" t="s">
        <v>22</v>
      </c>
      <c r="G32" s="8" t="s">
        <v>22</v>
      </c>
      <c r="H32" s="8" t="s">
        <v>22</v>
      </c>
      <c r="I32" s="8" t="s">
        <v>22</v>
      </c>
      <c r="J32" s="4" t="s">
        <v>22</v>
      </c>
      <c r="K32" s="8" t="s">
        <v>22</v>
      </c>
      <c r="L32" s="8" t="s">
        <v>22</v>
      </c>
      <c r="M32" s="8" t="s">
        <v>22</v>
      </c>
      <c r="N32" s="5" t="s">
        <v>22</v>
      </c>
      <c r="O32" s="6" t="s">
        <v>22</v>
      </c>
      <c r="P32" s="6" t="s">
        <v>22</v>
      </c>
      <c r="Q32" s="7" t="s">
        <v>22</v>
      </c>
    </row>
    <row r="33" spans="1:17" s="9" customFormat="1" ht="39.950000000000003" customHeight="1" x14ac:dyDescent="0.25">
      <c r="A33" s="10" t="s">
        <v>0</v>
      </c>
      <c r="B33" s="11"/>
      <c r="C33" s="11"/>
      <c r="D33" s="8" t="s">
        <v>1</v>
      </c>
      <c r="E33" s="8" t="s">
        <v>2</v>
      </c>
      <c r="F33" s="8" t="s">
        <v>3</v>
      </c>
      <c r="G33" s="8" t="s">
        <v>4</v>
      </c>
      <c r="H33" s="8" t="s">
        <v>5</v>
      </c>
      <c r="I33" s="8" t="s">
        <v>6</v>
      </c>
      <c r="J33" s="8" t="s">
        <v>7</v>
      </c>
      <c r="K33" s="8" t="s">
        <v>8</v>
      </c>
      <c r="L33" s="8" t="s">
        <v>9</v>
      </c>
      <c r="M33" s="8" t="s">
        <v>10</v>
      </c>
      <c r="N33" s="8" t="s">
        <v>11</v>
      </c>
      <c r="O33" s="8" t="s">
        <v>12</v>
      </c>
      <c r="P33" s="8" t="s">
        <v>13</v>
      </c>
      <c r="Q33" s="8" t="s">
        <v>14</v>
      </c>
    </row>
    <row r="34" spans="1:17" s="9" customFormat="1" ht="20" customHeight="1" x14ac:dyDescent="0.25">
      <c r="A34" s="10" t="s">
        <v>27</v>
      </c>
      <c r="B34" s="11"/>
      <c r="C34" s="11"/>
      <c r="D34" s="8" t="s">
        <v>16</v>
      </c>
      <c r="E34" s="3">
        <v>17</v>
      </c>
      <c r="F34" s="8">
        <v>36</v>
      </c>
      <c r="G34" s="8">
        <v>32</v>
      </c>
      <c r="H34" s="8">
        <v>36</v>
      </c>
      <c r="I34" s="8">
        <v>45</v>
      </c>
      <c r="J34" s="4">
        <f>(G34+H34)/I34</f>
        <v>1.5111111111111111</v>
      </c>
      <c r="K34" s="8">
        <v>21875</v>
      </c>
      <c r="L34" s="8">
        <v>28142</v>
      </c>
      <c r="M34" s="8">
        <f>K34-L34</f>
        <v>-6267</v>
      </c>
      <c r="N34" s="5">
        <f>K34/F34</f>
        <v>607.63888888888891</v>
      </c>
      <c r="O34" s="6">
        <v>0.63900000000000001</v>
      </c>
      <c r="P34" s="6">
        <v>0.65200000000000002</v>
      </c>
      <c r="Q34" s="7">
        <v>0.13300000000000001</v>
      </c>
    </row>
    <row r="35" spans="1:17" s="9" customFormat="1" ht="20" customHeight="1" x14ac:dyDescent="0.25">
      <c r="A35" s="11"/>
      <c r="B35" s="11"/>
      <c r="C35" s="11"/>
      <c r="D35" s="8" t="s">
        <v>17</v>
      </c>
      <c r="E35" s="3" t="s">
        <v>22</v>
      </c>
      <c r="F35" s="8" t="s">
        <v>22</v>
      </c>
      <c r="G35" s="8" t="s">
        <v>22</v>
      </c>
      <c r="H35" s="8" t="s">
        <v>22</v>
      </c>
      <c r="I35" s="8" t="s">
        <v>22</v>
      </c>
      <c r="J35" s="4" t="s">
        <v>22</v>
      </c>
      <c r="K35" s="8" t="s">
        <v>22</v>
      </c>
      <c r="L35" s="8" t="s">
        <v>22</v>
      </c>
      <c r="M35" s="8" t="s">
        <v>22</v>
      </c>
      <c r="N35" s="5" t="s">
        <v>22</v>
      </c>
      <c r="O35" s="6" t="s">
        <v>22</v>
      </c>
      <c r="P35" s="6" t="s">
        <v>22</v>
      </c>
      <c r="Q35" s="7" t="s">
        <v>22</v>
      </c>
    </row>
    <row r="36" spans="1:17" s="9" customFormat="1" ht="20" customHeight="1" x14ac:dyDescent="0.25">
      <c r="A36" s="11"/>
      <c r="B36" s="11"/>
      <c r="C36" s="11"/>
      <c r="D36" s="8" t="s">
        <v>18</v>
      </c>
      <c r="E36" s="3" t="s">
        <v>22</v>
      </c>
      <c r="F36" s="8" t="s">
        <v>22</v>
      </c>
      <c r="G36" s="8" t="s">
        <v>22</v>
      </c>
      <c r="H36" s="8" t="s">
        <v>22</v>
      </c>
      <c r="I36" s="8" t="s">
        <v>22</v>
      </c>
      <c r="J36" s="4" t="s">
        <v>22</v>
      </c>
      <c r="K36" s="8" t="s">
        <v>22</v>
      </c>
      <c r="L36" s="8" t="s">
        <v>22</v>
      </c>
      <c r="M36" s="8" t="s">
        <v>22</v>
      </c>
      <c r="N36" s="5" t="s">
        <v>22</v>
      </c>
      <c r="O36" s="6" t="s">
        <v>22</v>
      </c>
      <c r="P36" s="6" t="s">
        <v>22</v>
      </c>
      <c r="Q36" s="7" t="s">
        <v>22</v>
      </c>
    </row>
    <row r="37" spans="1:17" s="9" customFormat="1" ht="20" customHeight="1" x14ac:dyDescent="0.25">
      <c r="A37" s="11"/>
      <c r="B37" s="11"/>
      <c r="C37" s="11"/>
      <c r="D37" s="8" t="s">
        <v>19</v>
      </c>
      <c r="E37" s="3">
        <v>56</v>
      </c>
      <c r="F37" s="8">
        <v>30</v>
      </c>
      <c r="G37" s="8">
        <v>16</v>
      </c>
      <c r="H37" s="8">
        <v>70</v>
      </c>
      <c r="I37" s="8">
        <v>29</v>
      </c>
      <c r="J37" s="4">
        <f>(G37+H37)/I37</f>
        <v>2.9655172413793105</v>
      </c>
      <c r="K37" s="8">
        <v>15090</v>
      </c>
      <c r="L37" s="8">
        <v>13600</v>
      </c>
      <c r="M37" s="8">
        <f>K37-L37</f>
        <v>1490</v>
      </c>
      <c r="N37" s="5">
        <f>K37/F37</f>
        <v>503</v>
      </c>
      <c r="O37" s="6">
        <v>0.56699999999999995</v>
      </c>
      <c r="P37" s="6">
        <v>0.52900000000000003</v>
      </c>
      <c r="Q37" s="7">
        <v>0.33300000000000002</v>
      </c>
    </row>
    <row r="38" spans="1:17" s="9" customFormat="1" ht="20" customHeight="1" x14ac:dyDescent="0.25">
      <c r="A38" s="11"/>
      <c r="B38" s="11"/>
      <c r="C38" s="11"/>
      <c r="D38" s="8" t="s">
        <v>20</v>
      </c>
      <c r="E38" s="3" t="s">
        <v>22</v>
      </c>
      <c r="F38" s="8" t="s">
        <v>22</v>
      </c>
      <c r="G38" s="8" t="s">
        <v>22</v>
      </c>
      <c r="H38" s="8" t="s">
        <v>22</v>
      </c>
      <c r="I38" s="8" t="s">
        <v>22</v>
      </c>
      <c r="J38" s="4" t="s">
        <v>22</v>
      </c>
      <c r="K38" s="8" t="s">
        <v>22</v>
      </c>
      <c r="L38" s="8" t="s">
        <v>22</v>
      </c>
      <c r="M38" s="8" t="s">
        <v>22</v>
      </c>
      <c r="N38" s="5" t="s">
        <v>22</v>
      </c>
      <c r="O38" s="6" t="s">
        <v>22</v>
      </c>
      <c r="P38" s="6" t="s">
        <v>22</v>
      </c>
      <c r="Q38" s="7" t="s">
        <v>22</v>
      </c>
    </row>
    <row r="39" spans="1:17" s="9" customFormat="1" ht="39.950000000000003" customHeight="1" x14ac:dyDescent="0.25">
      <c r="A39" s="11"/>
      <c r="B39" s="11"/>
      <c r="C39" s="11"/>
      <c r="D39" s="8" t="s">
        <v>21</v>
      </c>
      <c r="E39" s="3" t="s">
        <v>22</v>
      </c>
      <c r="F39" s="8" t="s">
        <v>22</v>
      </c>
      <c r="G39" s="8" t="s">
        <v>22</v>
      </c>
      <c r="H39" s="8" t="s">
        <v>22</v>
      </c>
      <c r="I39" s="8" t="s">
        <v>22</v>
      </c>
      <c r="J39" s="4" t="s">
        <v>22</v>
      </c>
      <c r="K39" s="8" t="s">
        <v>22</v>
      </c>
      <c r="L39" s="8" t="s">
        <v>22</v>
      </c>
      <c r="M39" s="8" t="s">
        <v>22</v>
      </c>
      <c r="N39" s="5" t="s">
        <v>22</v>
      </c>
      <c r="O39" s="6" t="s">
        <v>22</v>
      </c>
      <c r="P39" s="6" t="s">
        <v>22</v>
      </c>
      <c r="Q39" s="7" t="s">
        <v>22</v>
      </c>
    </row>
    <row r="40" spans="1:17" s="9" customFormat="1" ht="20" customHeight="1" x14ac:dyDescent="0.25">
      <c r="A40" s="11"/>
      <c r="B40" s="11"/>
      <c r="C40" s="11"/>
      <c r="D40" s="8" t="s">
        <v>23</v>
      </c>
      <c r="E40" s="3" t="s">
        <v>22</v>
      </c>
      <c r="F40" s="8" t="s">
        <v>22</v>
      </c>
      <c r="G40" s="8" t="s">
        <v>22</v>
      </c>
      <c r="H40" s="8" t="s">
        <v>22</v>
      </c>
      <c r="I40" s="8" t="s">
        <v>22</v>
      </c>
      <c r="J40" s="4" t="s">
        <v>22</v>
      </c>
      <c r="K40" s="8" t="s">
        <v>22</v>
      </c>
      <c r="L40" s="8" t="s">
        <v>22</v>
      </c>
      <c r="M40" s="8" t="s">
        <v>22</v>
      </c>
      <c r="N40" s="5" t="s">
        <v>22</v>
      </c>
      <c r="O40" s="6" t="s">
        <v>22</v>
      </c>
      <c r="P40" s="6" t="s">
        <v>22</v>
      </c>
      <c r="Q40" s="7" t="s">
        <v>22</v>
      </c>
    </row>
    <row r="41" spans="1:17" s="9" customFormat="1" ht="39.950000000000003" customHeight="1" x14ac:dyDescent="0.25">
      <c r="A41" s="10" t="s">
        <v>0</v>
      </c>
      <c r="B41" s="11"/>
      <c r="C41" s="11"/>
      <c r="D41" s="8" t="s">
        <v>1</v>
      </c>
      <c r="E41" s="8" t="s">
        <v>2</v>
      </c>
      <c r="F41" s="8" t="s">
        <v>3</v>
      </c>
      <c r="G41" s="8" t="s">
        <v>4</v>
      </c>
      <c r="H41" s="8" t="s">
        <v>5</v>
      </c>
      <c r="I41" s="8" t="s">
        <v>6</v>
      </c>
      <c r="J41" s="8" t="s">
        <v>7</v>
      </c>
      <c r="K41" s="8" t="s">
        <v>8</v>
      </c>
      <c r="L41" s="8" t="s">
        <v>9</v>
      </c>
      <c r="M41" s="8" t="s">
        <v>10</v>
      </c>
      <c r="N41" s="8" t="s">
        <v>11</v>
      </c>
      <c r="O41" s="8" t="s">
        <v>12</v>
      </c>
      <c r="P41" s="8" t="s">
        <v>13</v>
      </c>
      <c r="Q41" s="8" t="s">
        <v>14</v>
      </c>
    </row>
    <row r="42" spans="1:17" s="9" customFormat="1" ht="20" customHeight="1" x14ac:dyDescent="0.25">
      <c r="A42" s="10" t="s">
        <v>28</v>
      </c>
      <c r="B42" s="11"/>
      <c r="C42" s="11"/>
      <c r="D42" s="8" t="s">
        <v>16</v>
      </c>
      <c r="E42" s="3">
        <v>1</v>
      </c>
      <c r="F42" s="8">
        <v>43</v>
      </c>
      <c r="G42" s="8">
        <v>64</v>
      </c>
      <c r="H42" s="8">
        <v>93</v>
      </c>
      <c r="I42" s="8">
        <v>40</v>
      </c>
      <c r="J42" s="4">
        <f t="shared" ref="J42:J47" si="0">(G42+H42)/I42</f>
        <v>3.9249999999999998</v>
      </c>
      <c r="K42" s="8">
        <v>37862</v>
      </c>
      <c r="L42" s="8">
        <v>35113</v>
      </c>
      <c r="M42" s="8">
        <f t="shared" ref="M42:M47" si="1">K42-L42</f>
        <v>2749</v>
      </c>
      <c r="N42" s="5">
        <f t="shared" ref="N42:N47" si="2">K42/F42</f>
        <v>880.51162790697674</v>
      </c>
      <c r="O42" s="6">
        <v>0.81399999999999995</v>
      </c>
      <c r="P42" s="6">
        <v>0.629</v>
      </c>
      <c r="Q42" s="7">
        <v>0.36399999999999999</v>
      </c>
    </row>
    <row r="43" spans="1:17" s="9" customFormat="1" ht="20" customHeight="1" x14ac:dyDescent="0.25">
      <c r="A43" s="11"/>
      <c r="B43" s="11"/>
      <c r="C43" s="11"/>
      <c r="D43" s="8" t="s">
        <v>17</v>
      </c>
      <c r="E43" s="3">
        <v>6</v>
      </c>
      <c r="F43" s="8">
        <v>43</v>
      </c>
      <c r="G43" s="8">
        <v>23</v>
      </c>
      <c r="H43" s="8">
        <v>82</v>
      </c>
      <c r="I43" s="8">
        <v>45</v>
      </c>
      <c r="J43" s="4">
        <f t="shared" si="0"/>
        <v>2.3333333333333335</v>
      </c>
      <c r="K43" s="8">
        <v>16801</v>
      </c>
      <c r="L43" s="8">
        <v>18525</v>
      </c>
      <c r="M43" s="8">
        <f t="shared" si="1"/>
        <v>-1724</v>
      </c>
      <c r="N43" s="5">
        <f t="shared" si="2"/>
        <v>390.72093023255815</v>
      </c>
      <c r="O43" s="6">
        <v>0.442</v>
      </c>
      <c r="P43" s="6">
        <v>0.52600000000000002</v>
      </c>
      <c r="Q43" s="7">
        <v>0.3</v>
      </c>
    </row>
    <row r="44" spans="1:17" s="9" customFormat="1" ht="20" customHeight="1" x14ac:dyDescent="0.25">
      <c r="A44" s="11"/>
      <c r="B44" s="11"/>
      <c r="C44" s="11"/>
      <c r="D44" s="8" t="s">
        <v>18</v>
      </c>
      <c r="E44" s="3">
        <v>8</v>
      </c>
      <c r="F44" s="8">
        <v>43</v>
      </c>
      <c r="G44" s="8">
        <v>26</v>
      </c>
      <c r="H44" s="8">
        <v>56</v>
      </c>
      <c r="I44" s="8">
        <v>44</v>
      </c>
      <c r="J44" s="4">
        <f t="shared" si="0"/>
        <v>1.8636363636363635</v>
      </c>
      <c r="K44" s="8">
        <v>23435</v>
      </c>
      <c r="L44" s="8">
        <v>27828</v>
      </c>
      <c r="M44" s="8">
        <f t="shared" si="1"/>
        <v>-4393</v>
      </c>
      <c r="N44" s="5">
        <f t="shared" si="2"/>
        <v>545</v>
      </c>
      <c r="O44" s="6">
        <v>0.60499999999999998</v>
      </c>
      <c r="P44" s="6">
        <v>0.53800000000000003</v>
      </c>
      <c r="Q44" s="7">
        <v>0.214</v>
      </c>
    </row>
    <row r="45" spans="1:17" s="9" customFormat="1" ht="20" customHeight="1" x14ac:dyDescent="0.25">
      <c r="A45" s="11"/>
      <c r="B45" s="11"/>
      <c r="C45" s="11"/>
      <c r="D45" s="8" t="s">
        <v>19</v>
      </c>
      <c r="E45" s="3">
        <v>3</v>
      </c>
      <c r="F45" s="8">
        <v>43</v>
      </c>
      <c r="G45" s="8">
        <v>53</v>
      </c>
      <c r="H45" s="8">
        <v>66</v>
      </c>
      <c r="I45" s="8">
        <v>43</v>
      </c>
      <c r="J45" s="4">
        <f t="shared" si="0"/>
        <v>2.7674418604651163</v>
      </c>
      <c r="K45" s="8">
        <v>29212</v>
      </c>
      <c r="L45" s="8">
        <v>28531</v>
      </c>
      <c r="M45" s="8">
        <f t="shared" si="1"/>
        <v>681</v>
      </c>
      <c r="N45" s="5">
        <f t="shared" si="2"/>
        <v>679.34883720930236</v>
      </c>
      <c r="O45" s="6">
        <v>0.69799999999999995</v>
      </c>
      <c r="P45" s="6">
        <v>0.56699999999999995</v>
      </c>
      <c r="Q45" s="7">
        <v>0.23499999999999999</v>
      </c>
    </row>
    <row r="46" spans="1:17" s="9" customFormat="1" ht="20" customHeight="1" x14ac:dyDescent="0.25">
      <c r="A46" s="11"/>
      <c r="B46" s="11"/>
      <c r="C46" s="11"/>
      <c r="D46" s="8" t="s">
        <v>20</v>
      </c>
      <c r="E46" s="3">
        <v>12</v>
      </c>
      <c r="F46" s="8">
        <v>43</v>
      </c>
      <c r="G46" s="8">
        <v>32</v>
      </c>
      <c r="H46" s="8">
        <v>40</v>
      </c>
      <c r="I46" s="8">
        <v>45</v>
      </c>
      <c r="J46" s="4">
        <f t="shared" si="0"/>
        <v>1.6</v>
      </c>
      <c r="K46" s="8">
        <v>20604</v>
      </c>
      <c r="L46" s="8">
        <v>25152</v>
      </c>
      <c r="M46" s="8">
        <f t="shared" si="1"/>
        <v>-4548</v>
      </c>
      <c r="N46" s="5">
        <f t="shared" si="2"/>
        <v>479.16279069767444</v>
      </c>
      <c r="O46" s="6">
        <v>0.628</v>
      </c>
      <c r="P46" s="6">
        <v>0.40699999999999997</v>
      </c>
      <c r="Q46" s="7">
        <v>9.0999999999999998E-2</v>
      </c>
    </row>
    <row r="47" spans="1:17" s="9" customFormat="1" ht="39.950000000000003" customHeight="1" x14ac:dyDescent="0.25">
      <c r="A47" s="11"/>
      <c r="B47" s="11"/>
      <c r="C47" s="11"/>
      <c r="D47" s="8" t="s">
        <v>21</v>
      </c>
      <c r="E47" s="3">
        <v>27</v>
      </c>
      <c r="F47" s="8">
        <v>18</v>
      </c>
      <c r="G47" s="8">
        <v>10</v>
      </c>
      <c r="H47" s="8">
        <v>19</v>
      </c>
      <c r="I47" s="8">
        <v>18</v>
      </c>
      <c r="J47" s="4">
        <f t="shared" si="0"/>
        <v>1.6111111111111112</v>
      </c>
      <c r="K47" s="8">
        <v>10898</v>
      </c>
      <c r="L47" s="8">
        <v>9545</v>
      </c>
      <c r="M47" s="8">
        <f t="shared" si="1"/>
        <v>1353</v>
      </c>
      <c r="N47" s="5">
        <f t="shared" si="2"/>
        <v>605.44444444444446</v>
      </c>
      <c r="O47" s="6">
        <v>0.5</v>
      </c>
      <c r="P47" s="6">
        <v>0.44400000000000001</v>
      </c>
      <c r="Q47" s="7">
        <v>0</v>
      </c>
    </row>
    <row r="48" spans="1:17" s="9" customFormat="1" ht="20" customHeight="1" x14ac:dyDescent="0.25">
      <c r="A48" s="11"/>
      <c r="B48" s="11"/>
      <c r="C48" s="11"/>
      <c r="D48" s="8" t="s">
        <v>23</v>
      </c>
      <c r="E48" s="3" t="s">
        <v>22</v>
      </c>
      <c r="F48" s="8" t="s">
        <v>22</v>
      </c>
      <c r="G48" s="8" t="s">
        <v>22</v>
      </c>
      <c r="H48" s="8" t="s">
        <v>22</v>
      </c>
      <c r="I48" s="8" t="s">
        <v>22</v>
      </c>
      <c r="J48" s="4" t="s">
        <v>22</v>
      </c>
      <c r="K48" s="8" t="s">
        <v>22</v>
      </c>
      <c r="L48" s="8" t="s">
        <v>22</v>
      </c>
      <c r="M48" s="8" t="s">
        <v>22</v>
      </c>
      <c r="N48" s="5" t="s">
        <v>22</v>
      </c>
      <c r="O48" s="6" t="s">
        <v>22</v>
      </c>
      <c r="P48" s="6" t="s">
        <v>22</v>
      </c>
      <c r="Q48" s="7" t="s">
        <v>22</v>
      </c>
    </row>
    <row r="49" spans="1:17" s="9" customFormat="1" ht="39.950000000000003" customHeight="1" x14ac:dyDescent="0.25">
      <c r="A49" s="10" t="s">
        <v>0</v>
      </c>
      <c r="B49" s="11"/>
      <c r="C49" s="11"/>
      <c r="D49" s="8" t="s">
        <v>1</v>
      </c>
      <c r="E49" s="8" t="s">
        <v>2</v>
      </c>
      <c r="F49" s="8" t="s">
        <v>3</v>
      </c>
      <c r="G49" s="8" t="s">
        <v>4</v>
      </c>
      <c r="H49" s="8" t="s">
        <v>5</v>
      </c>
      <c r="I49" s="8" t="s">
        <v>6</v>
      </c>
      <c r="J49" s="8" t="s">
        <v>7</v>
      </c>
      <c r="K49" s="8" t="s">
        <v>8</v>
      </c>
      <c r="L49" s="8" t="s">
        <v>9</v>
      </c>
      <c r="M49" s="8" t="s">
        <v>10</v>
      </c>
      <c r="N49" s="8" t="s">
        <v>11</v>
      </c>
      <c r="O49" s="8" t="s">
        <v>12</v>
      </c>
      <c r="P49" s="8" t="s">
        <v>13</v>
      </c>
      <c r="Q49" s="8" t="s">
        <v>14</v>
      </c>
    </row>
    <row r="50" spans="1:17" s="9" customFormat="1" ht="20" customHeight="1" x14ac:dyDescent="0.25">
      <c r="A50" s="10" t="s">
        <v>29</v>
      </c>
      <c r="B50" s="11"/>
      <c r="C50" s="11"/>
      <c r="D50" s="8" t="s">
        <v>16</v>
      </c>
      <c r="E50" s="3">
        <v>9</v>
      </c>
      <c r="F50" s="8">
        <v>43</v>
      </c>
      <c r="G50" s="8">
        <v>52</v>
      </c>
      <c r="H50" s="8">
        <v>41</v>
      </c>
      <c r="I50" s="8">
        <v>51</v>
      </c>
      <c r="J50" s="4">
        <f>(G50+H50)/I50</f>
        <v>1.8235294117647058</v>
      </c>
      <c r="K50" s="8">
        <v>29785</v>
      </c>
      <c r="L50" s="8">
        <v>36524</v>
      </c>
      <c r="M50" s="8">
        <f>K50-L50</f>
        <v>-6739</v>
      </c>
      <c r="N50" s="5">
        <f>K50/F50</f>
        <v>692.67441860465112</v>
      </c>
      <c r="O50" s="6">
        <v>0.65100000000000002</v>
      </c>
      <c r="P50" s="6">
        <v>0.57099999999999995</v>
      </c>
      <c r="Q50" s="7">
        <v>6.3E-2</v>
      </c>
    </row>
    <row r="51" spans="1:17" s="9" customFormat="1" ht="20" customHeight="1" x14ac:dyDescent="0.25">
      <c r="A51" s="11"/>
      <c r="B51" s="11"/>
      <c r="C51" s="11"/>
      <c r="D51" s="8" t="s">
        <v>17</v>
      </c>
      <c r="E51" s="3" t="s">
        <v>22</v>
      </c>
      <c r="F51" s="8" t="s">
        <v>22</v>
      </c>
      <c r="G51" s="8" t="s">
        <v>22</v>
      </c>
      <c r="H51" s="8" t="s">
        <v>22</v>
      </c>
      <c r="I51" s="8" t="s">
        <v>22</v>
      </c>
      <c r="J51" s="4" t="s">
        <v>22</v>
      </c>
      <c r="K51" s="8" t="s">
        <v>22</v>
      </c>
      <c r="L51" s="8" t="s">
        <v>22</v>
      </c>
      <c r="M51" s="8" t="s">
        <v>22</v>
      </c>
      <c r="N51" s="5" t="s">
        <v>22</v>
      </c>
      <c r="O51" s="6" t="s">
        <v>22</v>
      </c>
      <c r="P51" s="6" t="s">
        <v>22</v>
      </c>
      <c r="Q51" s="7" t="s">
        <v>22</v>
      </c>
    </row>
    <row r="52" spans="1:17" s="9" customFormat="1" ht="20" customHeight="1" x14ac:dyDescent="0.25">
      <c r="A52" s="11"/>
      <c r="B52" s="11"/>
      <c r="C52" s="11"/>
      <c r="D52" s="8" t="s">
        <v>18</v>
      </c>
      <c r="E52" s="3">
        <v>35</v>
      </c>
      <c r="F52" s="8">
        <v>26</v>
      </c>
      <c r="G52" s="8">
        <v>27</v>
      </c>
      <c r="H52" s="8">
        <v>13</v>
      </c>
      <c r="I52" s="8">
        <v>26</v>
      </c>
      <c r="J52" s="4">
        <f>(G52+H52)/I52</f>
        <v>1.5384615384615385</v>
      </c>
      <c r="K52" s="8">
        <v>12306</v>
      </c>
      <c r="L52" s="8">
        <v>17033</v>
      </c>
      <c r="M52" s="8">
        <f>K52-L52</f>
        <v>-4727</v>
      </c>
      <c r="N52" s="5">
        <f>K52/F52</f>
        <v>473.30769230769232</v>
      </c>
      <c r="O52" s="6">
        <v>0.46200000000000002</v>
      </c>
      <c r="P52" s="6">
        <v>0.33300000000000002</v>
      </c>
      <c r="Q52" s="7">
        <v>0</v>
      </c>
    </row>
    <row r="53" spans="1:17" s="9" customFormat="1" ht="20" customHeight="1" x14ac:dyDescent="0.25">
      <c r="A53" s="11"/>
      <c r="B53" s="11"/>
      <c r="C53" s="11"/>
      <c r="D53" s="8" t="s">
        <v>19</v>
      </c>
      <c r="E53" s="3">
        <v>33</v>
      </c>
      <c r="F53" s="8">
        <v>26</v>
      </c>
      <c r="G53" s="8">
        <v>20</v>
      </c>
      <c r="H53" s="8">
        <v>25</v>
      </c>
      <c r="I53" s="8">
        <v>29</v>
      </c>
      <c r="J53" s="4">
        <f>(G53+H53)/I53</f>
        <v>1.5517241379310345</v>
      </c>
      <c r="K53" s="8">
        <v>16682</v>
      </c>
      <c r="L53" s="8">
        <v>20834</v>
      </c>
      <c r="M53" s="8">
        <f>K53-L53</f>
        <v>-4152</v>
      </c>
      <c r="N53" s="5">
        <f>K53/F53</f>
        <v>641.61538461538464</v>
      </c>
      <c r="O53" s="6">
        <v>0.46200000000000002</v>
      </c>
      <c r="P53" s="6">
        <v>0.58299999999999996</v>
      </c>
      <c r="Q53" s="7">
        <v>0</v>
      </c>
    </row>
    <row r="54" spans="1:17" s="9" customFormat="1" ht="20" customHeight="1" x14ac:dyDescent="0.25">
      <c r="A54" s="11"/>
      <c r="B54" s="11"/>
      <c r="C54" s="11"/>
      <c r="D54" s="8" t="s">
        <v>20</v>
      </c>
      <c r="E54" s="3" t="s">
        <v>22</v>
      </c>
      <c r="F54" s="8" t="s">
        <v>22</v>
      </c>
      <c r="G54" s="8" t="s">
        <v>22</v>
      </c>
      <c r="H54" s="8" t="s">
        <v>22</v>
      </c>
      <c r="I54" s="8" t="s">
        <v>22</v>
      </c>
      <c r="J54" s="4" t="s">
        <v>22</v>
      </c>
      <c r="K54" s="8" t="s">
        <v>22</v>
      </c>
      <c r="L54" s="8" t="s">
        <v>22</v>
      </c>
      <c r="M54" s="8" t="s">
        <v>22</v>
      </c>
      <c r="N54" s="5" t="s">
        <v>22</v>
      </c>
      <c r="O54" s="6" t="s">
        <v>22</v>
      </c>
      <c r="P54" s="6" t="s">
        <v>22</v>
      </c>
      <c r="Q54" s="7" t="s">
        <v>22</v>
      </c>
    </row>
    <row r="55" spans="1:17" s="9" customFormat="1" ht="39.950000000000003" customHeight="1" x14ac:dyDescent="0.25">
      <c r="A55" s="11"/>
      <c r="B55" s="11"/>
      <c r="C55" s="11"/>
      <c r="D55" s="8" t="s">
        <v>21</v>
      </c>
      <c r="E55" s="3">
        <v>38</v>
      </c>
      <c r="F55" s="8">
        <v>26</v>
      </c>
      <c r="G55" s="8">
        <v>15</v>
      </c>
      <c r="H55" s="8">
        <v>22</v>
      </c>
      <c r="I55" s="8">
        <v>26</v>
      </c>
      <c r="J55" s="4">
        <f>(G55+H55)/I55</f>
        <v>1.4230769230769231</v>
      </c>
      <c r="K55" s="8">
        <v>13496</v>
      </c>
      <c r="L55" s="8">
        <v>15639</v>
      </c>
      <c r="M55" s="8">
        <f>K55-L55</f>
        <v>-2143</v>
      </c>
      <c r="N55" s="5">
        <f>K55/F55</f>
        <v>519.07692307692309</v>
      </c>
      <c r="O55" s="6">
        <v>0.38500000000000001</v>
      </c>
      <c r="P55" s="6">
        <v>0.2</v>
      </c>
      <c r="Q55" s="7">
        <v>0.5</v>
      </c>
    </row>
    <row r="56" spans="1:17" s="9" customFormat="1" ht="20" customHeight="1" x14ac:dyDescent="0.25">
      <c r="A56" s="11"/>
      <c r="B56" s="11"/>
      <c r="C56" s="11"/>
      <c r="D56" s="8" t="s">
        <v>23</v>
      </c>
      <c r="E56" s="3" t="s">
        <v>22</v>
      </c>
      <c r="F56" s="8" t="s">
        <v>22</v>
      </c>
      <c r="G56" s="8" t="s">
        <v>22</v>
      </c>
      <c r="H56" s="8" t="s">
        <v>22</v>
      </c>
      <c r="I56" s="8" t="s">
        <v>22</v>
      </c>
      <c r="J56" s="4" t="s">
        <v>22</v>
      </c>
      <c r="K56" s="8" t="s">
        <v>22</v>
      </c>
      <c r="L56" s="8" t="s">
        <v>22</v>
      </c>
      <c r="M56" s="8" t="s">
        <v>22</v>
      </c>
      <c r="N56" s="5" t="s">
        <v>22</v>
      </c>
      <c r="O56" s="6" t="s">
        <v>22</v>
      </c>
      <c r="P56" s="6" t="s">
        <v>22</v>
      </c>
      <c r="Q56" s="7" t="s">
        <v>22</v>
      </c>
    </row>
    <row r="57" spans="1:17" s="9" customFormat="1" ht="39.950000000000003" customHeight="1" x14ac:dyDescent="0.25">
      <c r="A57" s="10" t="s">
        <v>0</v>
      </c>
      <c r="B57" s="11"/>
      <c r="C57" s="11"/>
      <c r="D57" s="8" t="s">
        <v>1</v>
      </c>
      <c r="E57" s="8" t="s">
        <v>2</v>
      </c>
      <c r="F57" s="8" t="s">
        <v>3</v>
      </c>
      <c r="G57" s="8" t="s">
        <v>4</v>
      </c>
      <c r="H57" s="8" t="s">
        <v>5</v>
      </c>
      <c r="I57" s="8" t="s">
        <v>6</v>
      </c>
      <c r="J57" s="8" t="s">
        <v>7</v>
      </c>
      <c r="K57" s="8" t="s">
        <v>8</v>
      </c>
      <c r="L57" s="8" t="s">
        <v>9</v>
      </c>
      <c r="M57" s="8" t="s">
        <v>10</v>
      </c>
      <c r="N57" s="8" t="s">
        <v>11</v>
      </c>
      <c r="O57" s="8" t="s">
        <v>12</v>
      </c>
      <c r="P57" s="8" t="s">
        <v>13</v>
      </c>
      <c r="Q57" s="8" t="s">
        <v>14</v>
      </c>
    </row>
    <row r="58" spans="1:17" s="9" customFormat="1" ht="20" customHeight="1" x14ac:dyDescent="0.25">
      <c r="A58" s="10" t="s">
        <v>30</v>
      </c>
      <c r="B58" s="11"/>
      <c r="C58" s="11"/>
      <c r="D58" s="8" t="s">
        <v>16</v>
      </c>
      <c r="E58" s="3">
        <v>8</v>
      </c>
      <c r="F58" s="8">
        <v>34</v>
      </c>
      <c r="G58" s="8">
        <v>17</v>
      </c>
      <c r="H58" s="8">
        <v>50</v>
      </c>
      <c r="I58" s="8">
        <v>36</v>
      </c>
      <c r="J58" s="4">
        <f>(G58+H58)/I58</f>
        <v>1.8611111111111112</v>
      </c>
      <c r="K58" s="8">
        <v>18416</v>
      </c>
      <c r="L58" s="8">
        <v>18431</v>
      </c>
      <c r="M58" s="8">
        <f>K58-L58</f>
        <v>-15</v>
      </c>
      <c r="N58" s="5">
        <f>K58/F58</f>
        <v>541.64705882352939</v>
      </c>
      <c r="O58" s="6">
        <v>0.64700000000000002</v>
      </c>
      <c r="P58" s="6">
        <v>0.54500000000000004</v>
      </c>
      <c r="Q58" s="7">
        <v>8.3000000000000004E-2</v>
      </c>
    </row>
    <row r="59" spans="1:17" s="9" customFormat="1" ht="20" customHeight="1" x14ac:dyDescent="0.25">
      <c r="A59" s="11"/>
      <c r="B59" s="11"/>
      <c r="C59" s="11"/>
      <c r="D59" s="8" t="s">
        <v>17</v>
      </c>
      <c r="E59" s="3">
        <v>30</v>
      </c>
      <c r="F59" s="8">
        <v>30</v>
      </c>
      <c r="G59" s="8">
        <v>10</v>
      </c>
      <c r="H59" s="8">
        <v>33</v>
      </c>
      <c r="I59" s="8">
        <v>28</v>
      </c>
      <c r="J59" s="4">
        <f>(G59+H59)/I59</f>
        <v>1.5357142857142858</v>
      </c>
      <c r="K59" s="8">
        <v>9439</v>
      </c>
      <c r="L59" s="8">
        <v>10450</v>
      </c>
      <c r="M59" s="8">
        <f>K59-L59</f>
        <v>-1011</v>
      </c>
      <c r="N59" s="5">
        <f>K59/F59</f>
        <v>314.63333333333333</v>
      </c>
      <c r="O59" s="6">
        <v>0.26740000000000003</v>
      </c>
      <c r="P59" s="6">
        <v>0.125</v>
      </c>
      <c r="Q59" s="7">
        <v>1</v>
      </c>
    </row>
    <row r="60" spans="1:17" s="9" customFormat="1" ht="20" customHeight="1" x14ac:dyDescent="0.25">
      <c r="A60" s="11"/>
      <c r="B60" s="11"/>
      <c r="C60" s="11"/>
      <c r="D60" s="8" t="s">
        <v>18</v>
      </c>
      <c r="E60" s="3">
        <v>13</v>
      </c>
      <c r="F60" s="8">
        <v>40</v>
      </c>
      <c r="G60" s="8">
        <v>12</v>
      </c>
      <c r="H60" s="8">
        <v>61</v>
      </c>
      <c r="I60" s="8">
        <v>39</v>
      </c>
      <c r="J60" s="4">
        <f>(G60+H60)/I60</f>
        <v>1.8717948717948718</v>
      </c>
      <c r="K60" s="8">
        <v>17165</v>
      </c>
      <c r="L60" s="8">
        <v>16406</v>
      </c>
      <c r="M60" s="8">
        <f>K60-L60</f>
        <v>759</v>
      </c>
      <c r="N60" s="5">
        <f>K60/F60</f>
        <v>429.125</v>
      </c>
      <c r="O60" s="6">
        <v>0.52500000000000002</v>
      </c>
      <c r="P60" s="6">
        <v>0.42899999999999999</v>
      </c>
      <c r="Q60" s="7">
        <v>0.111</v>
      </c>
    </row>
    <row r="61" spans="1:17" s="9" customFormat="1" ht="20" customHeight="1" x14ac:dyDescent="0.25">
      <c r="A61" s="11"/>
      <c r="B61" s="11"/>
      <c r="C61" s="11"/>
      <c r="D61" s="8" t="s">
        <v>19</v>
      </c>
      <c r="E61" s="3">
        <v>35</v>
      </c>
      <c r="F61" s="8">
        <v>24</v>
      </c>
      <c r="G61" s="8">
        <v>7</v>
      </c>
      <c r="H61" s="8">
        <v>20</v>
      </c>
      <c r="I61" s="8">
        <v>24</v>
      </c>
      <c r="J61" s="4">
        <f>(G61+H61)/I61</f>
        <v>1.125</v>
      </c>
      <c r="K61" s="8">
        <v>7397</v>
      </c>
      <c r="L61" s="8">
        <v>10028</v>
      </c>
      <c r="M61" s="8">
        <f>K61-L61</f>
        <v>-2631</v>
      </c>
      <c r="N61" s="5">
        <f>K61/F61</f>
        <v>308.20833333333331</v>
      </c>
      <c r="O61" s="6">
        <v>0.20799999999999999</v>
      </c>
      <c r="P61" s="6">
        <v>0</v>
      </c>
      <c r="Q61" s="7">
        <v>0</v>
      </c>
    </row>
    <row r="62" spans="1:17" s="9" customFormat="1" ht="20" customHeight="1" x14ac:dyDescent="0.25">
      <c r="A62" s="11"/>
      <c r="B62" s="11"/>
      <c r="C62" s="11"/>
      <c r="D62" s="8" t="s">
        <v>20</v>
      </c>
      <c r="E62" s="3" t="s">
        <v>22</v>
      </c>
      <c r="F62" s="8" t="s">
        <v>22</v>
      </c>
      <c r="G62" s="8" t="s">
        <v>22</v>
      </c>
      <c r="H62" s="8" t="s">
        <v>22</v>
      </c>
      <c r="I62" s="8" t="s">
        <v>22</v>
      </c>
      <c r="J62" s="4" t="s">
        <v>22</v>
      </c>
      <c r="K62" s="8" t="s">
        <v>22</v>
      </c>
      <c r="L62" s="8" t="s">
        <v>22</v>
      </c>
      <c r="M62" s="8" t="s">
        <v>22</v>
      </c>
      <c r="N62" s="5" t="s">
        <v>22</v>
      </c>
      <c r="O62" s="6" t="s">
        <v>22</v>
      </c>
      <c r="P62" s="6" t="s">
        <v>22</v>
      </c>
      <c r="Q62" s="7" t="s">
        <v>22</v>
      </c>
    </row>
    <row r="63" spans="1:17" s="9" customFormat="1" ht="39.950000000000003" customHeight="1" x14ac:dyDescent="0.25">
      <c r="A63" s="11"/>
      <c r="B63" s="11"/>
      <c r="C63" s="11"/>
      <c r="D63" s="8" t="s">
        <v>21</v>
      </c>
      <c r="E63" s="3">
        <v>22</v>
      </c>
      <c r="F63" s="8">
        <v>30</v>
      </c>
      <c r="G63" s="8">
        <v>21</v>
      </c>
      <c r="H63" s="8">
        <v>47</v>
      </c>
      <c r="I63" s="8">
        <v>31</v>
      </c>
      <c r="J63" s="4">
        <f>(G63+H63)/I63</f>
        <v>2.193548387096774</v>
      </c>
      <c r="K63" s="8">
        <v>12267</v>
      </c>
      <c r="L63" s="8">
        <v>13046</v>
      </c>
      <c r="M63" s="8">
        <f>K63-L63</f>
        <v>-779</v>
      </c>
      <c r="N63" s="5">
        <f>K63/F63</f>
        <v>408.9</v>
      </c>
      <c r="O63" s="6">
        <v>0.46700000000000003</v>
      </c>
      <c r="P63" s="6">
        <v>0.42899999999999999</v>
      </c>
      <c r="Q63" s="7">
        <v>0.16700000000000001</v>
      </c>
    </row>
    <row r="64" spans="1:17" s="9" customFormat="1" ht="20" customHeight="1" x14ac:dyDescent="0.25">
      <c r="A64" s="11"/>
      <c r="B64" s="11"/>
      <c r="C64" s="11"/>
      <c r="D64" s="8" t="s">
        <v>23</v>
      </c>
      <c r="E64" s="3" t="s">
        <v>22</v>
      </c>
      <c r="F64" s="8" t="s">
        <v>22</v>
      </c>
      <c r="G64" s="8" t="s">
        <v>22</v>
      </c>
      <c r="H64" s="8" t="s">
        <v>22</v>
      </c>
      <c r="I64" s="8" t="s">
        <v>22</v>
      </c>
      <c r="J64" s="4" t="s">
        <v>22</v>
      </c>
      <c r="K64" s="8" t="s">
        <v>22</v>
      </c>
      <c r="L64" s="8" t="s">
        <v>22</v>
      </c>
      <c r="M64" s="8" t="s">
        <v>22</v>
      </c>
      <c r="N64" s="5" t="s">
        <v>22</v>
      </c>
      <c r="O64" s="6" t="s">
        <v>22</v>
      </c>
      <c r="P64" s="6" t="s">
        <v>22</v>
      </c>
      <c r="Q64" s="7" t="s">
        <v>22</v>
      </c>
    </row>
    <row r="65" spans="1:17" s="9" customFormat="1" ht="39.950000000000003" customHeight="1" x14ac:dyDescent="0.25">
      <c r="A65" s="10" t="s">
        <v>0</v>
      </c>
      <c r="B65" s="11"/>
      <c r="C65" s="11"/>
      <c r="D65" s="8" t="s">
        <v>1</v>
      </c>
      <c r="E65" s="8" t="s">
        <v>2</v>
      </c>
      <c r="F65" s="8" t="s">
        <v>3</v>
      </c>
      <c r="G65" s="8" t="s">
        <v>4</v>
      </c>
      <c r="H65" s="8" t="s">
        <v>5</v>
      </c>
      <c r="I65" s="8" t="s">
        <v>6</v>
      </c>
      <c r="J65" s="8" t="s">
        <v>7</v>
      </c>
      <c r="K65" s="8" t="s">
        <v>8</v>
      </c>
      <c r="L65" s="8" t="s">
        <v>9</v>
      </c>
      <c r="M65" s="8" t="s">
        <v>10</v>
      </c>
      <c r="N65" s="8" t="s">
        <v>11</v>
      </c>
      <c r="O65" s="8" t="s">
        <v>12</v>
      </c>
      <c r="P65" s="8" t="s">
        <v>13</v>
      </c>
      <c r="Q65" s="8" t="s">
        <v>14</v>
      </c>
    </row>
    <row r="66" spans="1:17" s="9" customFormat="1" ht="20" customHeight="1" x14ac:dyDescent="0.25">
      <c r="A66" s="10" t="s">
        <v>31</v>
      </c>
      <c r="B66" s="11"/>
      <c r="C66" s="11"/>
      <c r="D66" s="8" t="s">
        <v>16</v>
      </c>
      <c r="E66" s="3">
        <v>3</v>
      </c>
      <c r="F66" s="8">
        <v>41</v>
      </c>
      <c r="G66" s="8">
        <v>45</v>
      </c>
      <c r="H66" s="8">
        <v>49</v>
      </c>
      <c r="I66" s="8">
        <v>39</v>
      </c>
      <c r="J66" s="4">
        <f>(G66+H66)/I66</f>
        <v>2.4102564102564101</v>
      </c>
      <c r="K66" s="8">
        <v>26373</v>
      </c>
      <c r="L66" s="8">
        <v>24525</v>
      </c>
      <c r="M66" s="8">
        <f>K66-L66</f>
        <v>1848</v>
      </c>
      <c r="N66" s="5">
        <f>K66/F66</f>
        <v>643.2439024390244</v>
      </c>
      <c r="O66" s="6">
        <v>0.65900000000000003</v>
      </c>
      <c r="P66" s="6">
        <v>0.59299999999999997</v>
      </c>
      <c r="Q66" s="7">
        <v>0.313</v>
      </c>
    </row>
    <row r="67" spans="1:17" s="9" customFormat="1" ht="20" customHeight="1" x14ac:dyDescent="0.25">
      <c r="A67" s="11"/>
      <c r="B67" s="11"/>
      <c r="C67" s="11"/>
      <c r="D67" s="8" t="s">
        <v>17</v>
      </c>
      <c r="E67" s="3">
        <v>4</v>
      </c>
      <c r="F67" s="8">
        <v>43</v>
      </c>
      <c r="G67" s="8">
        <v>25</v>
      </c>
      <c r="H67" s="8">
        <v>54</v>
      </c>
      <c r="I67" s="8">
        <v>39</v>
      </c>
      <c r="J67" s="4">
        <f>(G67+H67)/I67</f>
        <v>2.0256410256410255</v>
      </c>
      <c r="K67" s="8">
        <v>25680</v>
      </c>
      <c r="L67" s="8">
        <v>22882</v>
      </c>
      <c r="M67" s="8">
        <f>K67-L67</f>
        <v>2798</v>
      </c>
      <c r="N67" s="5">
        <f>K67/F67</f>
        <v>597.20930232558135</v>
      </c>
      <c r="O67" s="6">
        <v>0.72099999999999997</v>
      </c>
      <c r="P67" s="6">
        <v>0.58099999999999996</v>
      </c>
      <c r="Q67" s="7">
        <v>0.27800000000000002</v>
      </c>
    </row>
    <row r="68" spans="1:17" s="9" customFormat="1" ht="20" customHeight="1" x14ac:dyDescent="0.25">
      <c r="A68" s="11"/>
      <c r="B68" s="11"/>
      <c r="C68" s="11"/>
      <c r="D68" s="8" t="s">
        <v>18</v>
      </c>
      <c r="E68" s="3">
        <v>7</v>
      </c>
      <c r="F68" s="8">
        <v>41</v>
      </c>
      <c r="G68" s="8">
        <v>38</v>
      </c>
      <c r="H68" s="8">
        <v>43</v>
      </c>
      <c r="I68" s="8">
        <v>41</v>
      </c>
      <c r="J68" s="4">
        <f>(G68+H68)/I68</f>
        <v>1.975609756097561</v>
      </c>
      <c r="K68" s="8">
        <v>23064</v>
      </c>
      <c r="L68" s="8">
        <v>23183</v>
      </c>
      <c r="M68" s="8">
        <f>K68-L68</f>
        <v>-119</v>
      </c>
      <c r="N68" s="5">
        <f>K68/F68</f>
        <v>562.53658536585363</v>
      </c>
      <c r="O68" s="6">
        <v>0.6</v>
      </c>
      <c r="P68" s="6">
        <v>0.54200000000000004</v>
      </c>
      <c r="Q68" s="7">
        <v>0.154</v>
      </c>
    </row>
    <row r="69" spans="1:17" s="9" customFormat="1" ht="20" customHeight="1" x14ac:dyDescent="0.25">
      <c r="A69" s="11"/>
      <c r="B69" s="11"/>
      <c r="C69" s="11"/>
      <c r="D69" s="8" t="s">
        <v>19</v>
      </c>
      <c r="E69" s="3">
        <v>5</v>
      </c>
      <c r="F69" s="8">
        <v>43</v>
      </c>
      <c r="G69" s="8">
        <v>60</v>
      </c>
      <c r="H69" s="8">
        <v>71</v>
      </c>
      <c r="I69" s="8">
        <v>44</v>
      </c>
      <c r="J69" s="4">
        <f>(G69+H69)/I69</f>
        <v>2.9772727272727271</v>
      </c>
      <c r="K69" s="8">
        <v>29149</v>
      </c>
      <c r="L69" s="8">
        <v>23032</v>
      </c>
      <c r="M69" s="8">
        <f>K69-L69</f>
        <v>6117</v>
      </c>
      <c r="N69" s="5">
        <f>K69/F69</f>
        <v>677.88372093023258</v>
      </c>
      <c r="O69" s="6">
        <v>0.46500000000000002</v>
      </c>
      <c r="P69" s="6">
        <v>0.5</v>
      </c>
      <c r="Q69" s="7">
        <v>0.3</v>
      </c>
    </row>
    <row r="70" spans="1:17" s="9" customFormat="1" ht="20" customHeight="1" x14ac:dyDescent="0.25">
      <c r="A70" s="11"/>
      <c r="B70" s="11"/>
      <c r="C70" s="11"/>
      <c r="D70" s="8" t="s">
        <v>20</v>
      </c>
      <c r="E70" s="3">
        <v>10</v>
      </c>
      <c r="F70" s="8">
        <v>24</v>
      </c>
      <c r="G70" s="8">
        <v>15</v>
      </c>
      <c r="H70" s="8">
        <v>18</v>
      </c>
      <c r="I70" s="8">
        <v>25</v>
      </c>
      <c r="J70" s="4">
        <f>(G70+H70)/I70</f>
        <v>1.32</v>
      </c>
      <c r="K70" s="8">
        <v>10913</v>
      </c>
      <c r="L70" s="8">
        <v>12933</v>
      </c>
      <c r="M70" s="8">
        <f>K70-L70</f>
        <v>-2020</v>
      </c>
      <c r="N70" s="5">
        <f>K70/F70</f>
        <v>454.70833333333331</v>
      </c>
      <c r="O70" s="6">
        <v>0.55200000000000005</v>
      </c>
      <c r="P70" s="6">
        <v>0.5</v>
      </c>
      <c r="Q70" s="7">
        <v>0.25</v>
      </c>
    </row>
    <row r="71" spans="1:17" s="9" customFormat="1" ht="39.950000000000003" customHeight="1" x14ac:dyDescent="0.25">
      <c r="A71" s="11"/>
      <c r="B71" s="11"/>
      <c r="C71" s="11"/>
      <c r="D71" s="8" t="s">
        <v>21</v>
      </c>
      <c r="E71" s="3" t="s">
        <v>22</v>
      </c>
      <c r="F71" s="8" t="s">
        <v>22</v>
      </c>
      <c r="G71" s="8" t="s">
        <v>22</v>
      </c>
      <c r="H71" s="8" t="s">
        <v>22</v>
      </c>
      <c r="I71" s="8" t="s">
        <v>22</v>
      </c>
      <c r="J71" s="4" t="s">
        <v>22</v>
      </c>
      <c r="K71" s="8" t="s">
        <v>22</v>
      </c>
      <c r="L71" s="8" t="s">
        <v>22</v>
      </c>
      <c r="M71" s="8" t="s">
        <v>22</v>
      </c>
      <c r="N71" s="5" t="s">
        <v>22</v>
      </c>
      <c r="O71" s="6" t="s">
        <v>22</v>
      </c>
      <c r="P71" s="6" t="s">
        <v>22</v>
      </c>
      <c r="Q71" s="7" t="s">
        <v>22</v>
      </c>
    </row>
    <row r="72" spans="1:17" s="9" customFormat="1" ht="20" customHeight="1" x14ac:dyDescent="0.25">
      <c r="A72" s="11"/>
      <c r="B72" s="11"/>
      <c r="C72" s="11"/>
      <c r="D72" s="8" t="s">
        <v>23</v>
      </c>
      <c r="E72" s="3">
        <v>13</v>
      </c>
      <c r="F72" s="8">
        <v>41</v>
      </c>
      <c r="G72" s="8">
        <v>24</v>
      </c>
      <c r="H72" s="8">
        <v>29</v>
      </c>
      <c r="I72" s="8">
        <v>43</v>
      </c>
      <c r="J72" s="4">
        <f>(G72+H72)/I72</f>
        <v>1.2325581395348837</v>
      </c>
      <c r="K72" s="8">
        <v>15126</v>
      </c>
      <c r="L72" s="8">
        <v>15425</v>
      </c>
      <c r="M72" s="8">
        <f>K72-L72</f>
        <v>-299</v>
      </c>
      <c r="N72" s="5">
        <f>K72/F72</f>
        <v>368.92682926829269</v>
      </c>
      <c r="O72" s="6">
        <v>0.51200000000000001</v>
      </c>
      <c r="P72" s="6">
        <v>0.61899999999999999</v>
      </c>
      <c r="Q72" s="7">
        <v>0</v>
      </c>
    </row>
    <row r="73" spans="1:17" s="9" customFormat="1" ht="39.950000000000003" customHeight="1" x14ac:dyDescent="0.25">
      <c r="A73" s="10" t="s">
        <v>0</v>
      </c>
      <c r="B73" s="11"/>
      <c r="C73" s="11"/>
      <c r="D73" s="8" t="s">
        <v>1</v>
      </c>
      <c r="E73" s="8" t="s">
        <v>2</v>
      </c>
      <c r="F73" s="8" t="s">
        <v>3</v>
      </c>
      <c r="G73" s="8" t="s">
        <v>4</v>
      </c>
      <c r="H73" s="8" t="s">
        <v>5</v>
      </c>
      <c r="I73" s="8" t="s">
        <v>6</v>
      </c>
      <c r="J73" s="8" t="s">
        <v>7</v>
      </c>
      <c r="K73" s="8" t="s">
        <v>8</v>
      </c>
      <c r="L73" s="8" t="s">
        <v>9</v>
      </c>
      <c r="M73" s="8" t="s">
        <v>10</v>
      </c>
      <c r="N73" s="8" t="s">
        <v>11</v>
      </c>
      <c r="O73" s="8" t="s">
        <v>12</v>
      </c>
      <c r="P73" s="8" t="s">
        <v>13</v>
      </c>
      <c r="Q73" s="8" t="s">
        <v>14</v>
      </c>
    </row>
    <row r="74" spans="1:17" s="9" customFormat="1" ht="20" customHeight="1" x14ac:dyDescent="0.25">
      <c r="A74" s="10" t="s">
        <v>32</v>
      </c>
      <c r="B74" s="11"/>
      <c r="C74" s="11"/>
      <c r="D74" s="8" t="s">
        <v>16</v>
      </c>
      <c r="E74" s="3" t="s">
        <v>22</v>
      </c>
      <c r="F74" s="8" t="s">
        <v>22</v>
      </c>
      <c r="G74" s="8" t="s">
        <v>22</v>
      </c>
      <c r="H74" s="8" t="s">
        <v>22</v>
      </c>
      <c r="I74" s="8" t="s">
        <v>22</v>
      </c>
      <c r="J74" s="4" t="s">
        <v>22</v>
      </c>
      <c r="K74" s="8" t="s">
        <v>22</v>
      </c>
      <c r="L74" s="8" t="s">
        <v>22</v>
      </c>
      <c r="M74" s="8" t="s">
        <v>22</v>
      </c>
      <c r="N74" s="5" t="s">
        <v>22</v>
      </c>
      <c r="O74" s="6" t="s">
        <v>22</v>
      </c>
      <c r="P74" s="6" t="s">
        <v>22</v>
      </c>
      <c r="Q74" s="7" t="s">
        <v>22</v>
      </c>
    </row>
    <row r="75" spans="1:17" s="9" customFormat="1" ht="20" customHeight="1" x14ac:dyDescent="0.25">
      <c r="A75" s="11"/>
      <c r="B75" s="11"/>
      <c r="C75" s="11"/>
      <c r="D75" s="8" t="s">
        <v>17</v>
      </c>
      <c r="E75" s="3" t="s">
        <v>22</v>
      </c>
      <c r="F75" s="8" t="s">
        <v>22</v>
      </c>
      <c r="G75" s="8" t="s">
        <v>22</v>
      </c>
      <c r="H75" s="8" t="s">
        <v>22</v>
      </c>
      <c r="I75" s="8" t="s">
        <v>22</v>
      </c>
      <c r="J75" s="4" t="s">
        <v>22</v>
      </c>
      <c r="K75" s="8" t="s">
        <v>22</v>
      </c>
      <c r="L75" s="8" t="s">
        <v>22</v>
      </c>
      <c r="M75" s="8" t="s">
        <v>22</v>
      </c>
      <c r="N75" s="5" t="s">
        <v>22</v>
      </c>
      <c r="O75" s="6" t="s">
        <v>22</v>
      </c>
      <c r="P75" s="6" t="s">
        <v>22</v>
      </c>
      <c r="Q75" s="7" t="s">
        <v>22</v>
      </c>
    </row>
    <row r="76" spans="1:17" s="9" customFormat="1" ht="20" customHeight="1" x14ac:dyDescent="0.25">
      <c r="A76" s="11"/>
      <c r="B76" s="11"/>
      <c r="C76" s="11"/>
      <c r="D76" s="8" t="s">
        <v>18</v>
      </c>
      <c r="E76" s="3" t="s">
        <v>22</v>
      </c>
      <c r="F76" s="8" t="s">
        <v>22</v>
      </c>
      <c r="G76" s="8" t="s">
        <v>22</v>
      </c>
      <c r="H76" s="8" t="s">
        <v>22</v>
      </c>
      <c r="I76" s="8" t="s">
        <v>22</v>
      </c>
      <c r="J76" s="4" t="s">
        <v>22</v>
      </c>
      <c r="K76" s="8" t="s">
        <v>22</v>
      </c>
      <c r="L76" s="8" t="s">
        <v>22</v>
      </c>
      <c r="M76" s="8" t="s">
        <v>22</v>
      </c>
      <c r="N76" s="5" t="s">
        <v>22</v>
      </c>
      <c r="O76" s="6" t="s">
        <v>22</v>
      </c>
      <c r="P76" s="6" t="s">
        <v>22</v>
      </c>
      <c r="Q76" s="7" t="s">
        <v>22</v>
      </c>
    </row>
    <row r="77" spans="1:17" s="9" customFormat="1" ht="20" customHeight="1" x14ac:dyDescent="0.25">
      <c r="A77" s="11"/>
      <c r="B77" s="11"/>
      <c r="C77" s="11"/>
      <c r="D77" s="8" t="s">
        <v>19</v>
      </c>
      <c r="E77" s="3" t="s">
        <v>22</v>
      </c>
      <c r="F77" s="8" t="s">
        <v>22</v>
      </c>
      <c r="G77" s="8" t="s">
        <v>22</v>
      </c>
      <c r="H77" s="8" t="s">
        <v>22</v>
      </c>
      <c r="I77" s="8" t="s">
        <v>22</v>
      </c>
      <c r="J77" s="4" t="s">
        <v>22</v>
      </c>
      <c r="K77" s="8" t="s">
        <v>22</v>
      </c>
      <c r="L77" s="8" t="s">
        <v>22</v>
      </c>
      <c r="M77" s="8" t="s">
        <v>22</v>
      </c>
      <c r="N77" s="5" t="s">
        <v>22</v>
      </c>
      <c r="O77" s="6" t="s">
        <v>22</v>
      </c>
      <c r="P77" s="6" t="s">
        <v>22</v>
      </c>
      <c r="Q77" s="7" t="s">
        <v>22</v>
      </c>
    </row>
    <row r="78" spans="1:17" s="9" customFormat="1" ht="20" customHeight="1" x14ac:dyDescent="0.25">
      <c r="A78" s="11"/>
      <c r="B78" s="11"/>
      <c r="C78" s="11"/>
      <c r="D78" s="8" t="s">
        <v>20</v>
      </c>
      <c r="E78" s="3" t="s">
        <v>22</v>
      </c>
      <c r="F78" s="8" t="s">
        <v>22</v>
      </c>
      <c r="G78" s="8" t="s">
        <v>22</v>
      </c>
      <c r="H78" s="8" t="s">
        <v>22</v>
      </c>
      <c r="I78" s="8" t="s">
        <v>22</v>
      </c>
      <c r="J78" s="4" t="s">
        <v>22</v>
      </c>
      <c r="K78" s="8" t="s">
        <v>22</v>
      </c>
      <c r="L78" s="8" t="s">
        <v>22</v>
      </c>
      <c r="M78" s="8" t="s">
        <v>22</v>
      </c>
      <c r="N78" s="5" t="s">
        <v>22</v>
      </c>
      <c r="O78" s="6" t="s">
        <v>22</v>
      </c>
      <c r="P78" s="6" t="s">
        <v>22</v>
      </c>
      <c r="Q78" s="7" t="s">
        <v>22</v>
      </c>
    </row>
    <row r="79" spans="1:17" s="9" customFormat="1" ht="39.950000000000003" customHeight="1" x14ac:dyDescent="0.25">
      <c r="A79" s="11"/>
      <c r="B79" s="11"/>
      <c r="C79" s="11"/>
      <c r="D79" s="8" t="s">
        <v>21</v>
      </c>
      <c r="E79" s="3" t="s">
        <v>22</v>
      </c>
      <c r="F79" s="8" t="s">
        <v>22</v>
      </c>
      <c r="G79" s="8" t="s">
        <v>22</v>
      </c>
      <c r="H79" s="8" t="s">
        <v>22</v>
      </c>
      <c r="I79" s="8" t="s">
        <v>22</v>
      </c>
      <c r="J79" s="4" t="s">
        <v>22</v>
      </c>
      <c r="K79" s="8" t="s">
        <v>22</v>
      </c>
      <c r="L79" s="8" t="s">
        <v>22</v>
      </c>
      <c r="M79" s="8" t="s">
        <v>22</v>
      </c>
      <c r="N79" s="5" t="s">
        <v>22</v>
      </c>
      <c r="O79" s="6" t="s">
        <v>22</v>
      </c>
      <c r="P79" s="6" t="s">
        <v>22</v>
      </c>
      <c r="Q79" s="7" t="s">
        <v>22</v>
      </c>
    </row>
    <row r="80" spans="1:17" s="9" customFormat="1" ht="20" customHeight="1" x14ac:dyDescent="0.25">
      <c r="A80" s="11"/>
      <c r="B80" s="11"/>
      <c r="C80" s="11"/>
      <c r="D80" s="8" t="s">
        <v>23</v>
      </c>
      <c r="E80" s="3">
        <v>15</v>
      </c>
      <c r="F80" s="8">
        <v>23</v>
      </c>
      <c r="G80" s="8">
        <v>8</v>
      </c>
      <c r="H80" s="8">
        <v>39</v>
      </c>
      <c r="I80" s="8">
        <v>22</v>
      </c>
      <c r="J80" s="4">
        <f>(G80+H80)/I80</f>
        <v>2.1363636363636362</v>
      </c>
      <c r="K80" s="8">
        <v>9823</v>
      </c>
      <c r="L80" s="8">
        <v>8989</v>
      </c>
      <c r="M80" s="8">
        <f>K80-L80</f>
        <v>834</v>
      </c>
      <c r="N80" s="5">
        <f>K80/F80</f>
        <v>427.08695652173913</v>
      </c>
      <c r="O80" s="6">
        <v>0.435</v>
      </c>
      <c r="P80" s="6">
        <v>0.4</v>
      </c>
      <c r="Q80" s="7">
        <v>0.25</v>
      </c>
    </row>
    <row r="81" spans="1:17" s="9" customFormat="1" ht="39.950000000000003" customHeight="1" x14ac:dyDescent="0.25">
      <c r="A81" s="10" t="s">
        <v>0</v>
      </c>
      <c r="B81" s="11"/>
      <c r="C81" s="11"/>
      <c r="D81" s="8" t="s">
        <v>1</v>
      </c>
      <c r="E81" s="8" t="s">
        <v>2</v>
      </c>
      <c r="F81" s="8" t="s">
        <v>3</v>
      </c>
      <c r="G81" s="8" t="s">
        <v>4</v>
      </c>
      <c r="H81" s="8" t="s">
        <v>5</v>
      </c>
      <c r="I81" s="8" t="s">
        <v>6</v>
      </c>
      <c r="J81" s="8" t="s">
        <v>7</v>
      </c>
      <c r="K81" s="8" t="s">
        <v>8</v>
      </c>
      <c r="L81" s="8" t="s">
        <v>9</v>
      </c>
      <c r="M81" s="8" t="s">
        <v>10</v>
      </c>
      <c r="N81" s="8" t="s">
        <v>11</v>
      </c>
      <c r="O81" s="8" t="s">
        <v>12</v>
      </c>
      <c r="P81" s="8" t="s">
        <v>13</v>
      </c>
      <c r="Q81" s="8" t="s">
        <v>14</v>
      </c>
    </row>
    <row r="82" spans="1:17" s="9" customFormat="1" ht="20" customHeight="1" x14ac:dyDescent="0.25">
      <c r="A82" s="10" t="s">
        <v>33</v>
      </c>
      <c r="B82" s="11"/>
      <c r="C82" s="11"/>
      <c r="D82" s="8" t="s">
        <v>16</v>
      </c>
      <c r="E82" s="3" t="s">
        <v>22</v>
      </c>
      <c r="F82" s="8" t="s">
        <v>22</v>
      </c>
      <c r="G82" s="8" t="s">
        <v>22</v>
      </c>
      <c r="H82" s="8" t="s">
        <v>22</v>
      </c>
      <c r="I82" s="8" t="s">
        <v>22</v>
      </c>
      <c r="J82" s="4" t="s">
        <v>22</v>
      </c>
      <c r="K82" s="8" t="s">
        <v>22</v>
      </c>
      <c r="L82" s="8" t="s">
        <v>22</v>
      </c>
      <c r="M82" s="8" t="s">
        <v>22</v>
      </c>
      <c r="N82" s="5" t="s">
        <v>22</v>
      </c>
      <c r="O82" s="6" t="s">
        <v>22</v>
      </c>
      <c r="P82" s="6" t="s">
        <v>22</v>
      </c>
      <c r="Q82" s="7" t="s">
        <v>22</v>
      </c>
    </row>
    <row r="83" spans="1:17" s="9" customFormat="1" ht="20" customHeight="1" x14ac:dyDescent="0.25">
      <c r="A83" s="11"/>
      <c r="B83" s="11"/>
      <c r="C83" s="11"/>
      <c r="D83" s="8" t="s">
        <v>17</v>
      </c>
      <c r="E83" s="3" t="s">
        <v>22</v>
      </c>
      <c r="F83" s="8" t="s">
        <v>22</v>
      </c>
      <c r="G83" s="8" t="s">
        <v>22</v>
      </c>
      <c r="H83" s="8" t="s">
        <v>22</v>
      </c>
      <c r="I83" s="8" t="s">
        <v>22</v>
      </c>
      <c r="J83" s="4" t="s">
        <v>22</v>
      </c>
      <c r="K83" s="8" t="s">
        <v>22</v>
      </c>
      <c r="L83" s="8" t="s">
        <v>22</v>
      </c>
      <c r="M83" s="8" t="s">
        <v>22</v>
      </c>
      <c r="N83" s="5" t="s">
        <v>22</v>
      </c>
      <c r="O83" s="6" t="s">
        <v>22</v>
      </c>
      <c r="P83" s="6" t="s">
        <v>22</v>
      </c>
      <c r="Q83" s="7" t="s">
        <v>22</v>
      </c>
    </row>
    <row r="84" spans="1:17" s="9" customFormat="1" ht="20" customHeight="1" x14ac:dyDescent="0.25">
      <c r="A84" s="11"/>
      <c r="B84" s="11"/>
      <c r="C84" s="11"/>
      <c r="D84" s="8" t="s">
        <v>18</v>
      </c>
      <c r="E84" s="3" t="s">
        <v>22</v>
      </c>
      <c r="F84" s="8" t="s">
        <v>22</v>
      </c>
      <c r="G84" s="8" t="s">
        <v>22</v>
      </c>
      <c r="H84" s="8" t="s">
        <v>22</v>
      </c>
      <c r="I84" s="8" t="s">
        <v>22</v>
      </c>
      <c r="J84" s="4" t="s">
        <v>22</v>
      </c>
      <c r="K84" s="8" t="s">
        <v>22</v>
      </c>
      <c r="L84" s="8" t="s">
        <v>22</v>
      </c>
      <c r="M84" s="8" t="s">
        <v>22</v>
      </c>
      <c r="N84" s="5" t="s">
        <v>22</v>
      </c>
      <c r="O84" s="6" t="s">
        <v>22</v>
      </c>
      <c r="P84" s="6" t="s">
        <v>22</v>
      </c>
      <c r="Q84" s="7" t="s">
        <v>22</v>
      </c>
    </row>
    <row r="85" spans="1:17" s="9" customFormat="1" ht="20" customHeight="1" x14ac:dyDescent="0.25">
      <c r="A85" s="11"/>
      <c r="B85" s="11"/>
      <c r="C85" s="11"/>
      <c r="D85" s="8" t="s">
        <v>19</v>
      </c>
      <c r="E85" s="3" t="s">
        <v>22</v>
      </c>
      <c r="F85" s="8" t="s">
        <v>22</v>
      </c>
      <c r="G85" s="8" t="s">
        <v>22</v>
      </c>
      <c r="H85" s="8" t="s">
        <v>22</v>
      </c>
      <c r="I85" s="8" t="s">
        <v>22</v>
      </c>
      <c r="J85" s="4" t="s">
        <v>22</v>
      </c>
      <c r="K85" s="8" t="s">
        <v>22</v>
      </c>
      <c r="L85" s="8" t="s">
        <v>22</v>
      </c>
      <c r="M85" s="8" t="s">
        <v>22</v>
      </c>
      <c r="N85" s="5" t="s">
        <v>22</v>
      </c>
      <c r="O85" s="6" t="s">
        <v>22</v>
      </c>
      <c r="P85" s="6" t="s">
        <v>22</v>
      </c>
      <c r="Q85" s="7" t="s">
        <v>22</v>
      </c>
    </row>
    <row r="86" spans="1:17" s="9" customFormat="1" ht="20" customHeight="1" x14ac:dyDescent="0.25">
      <c r="A86" s="11"/>
      <c r="B86" s="11"/>
      <c r="C86" s="11"/>
      <c r="D86" s="8" t="s">
        <v>20</v>
      </c>
      <c r="E86" s="3" t="s">
        <v>22</v>
      </c>
      <c r="F86" s="8" t="s">
        <v>22</v>
      </c>
      <c r="G86" s="8" t="s">
        <v>22</v>
      </c>
      <c r="H86" s="8" t="s">
        <v>22</v>
      </c>
      <c r="I86" s="8" t="s">
        <v>22</v>
      </c>
      <c r="J86" s="4" t="s">
        <v>22</v>
      </c>
      <c r="K86" s="8" t="s">
        <v>22</v>
      </c>
      <c r="L86" s="8" t="s">
        <v>22</v>
      </c>
      <c r="M86" s="8" t="s">
        <v>22</v>
      </c>
      <c r="N86" s="5" t="s">
        <v>22</v>
      </c>
      <c r="O86" s="6" t="s">
        <v>22</v>
      </c>
      <c r="P86" s="6" t="s">
        <v>22</v>
      </c>
      <c r="Q86" s="7" t="s">
        <v>22</v>
      </c>
    </row>
    <row r="87" spans="1:17" s="9" customFormat="1" ht="39.950000000000003" customHeight="1" x14ac:dyDescent="0.25">
      <c r="A87" s="11"/>
      <c r="B87" s="11"/>
      <c r="C87" s="11"/>
      <c r="D87" s="8" t="s">
        <v>21</v>
      </c>
      <c r="E87" s="3" t="s">
        <v>22</v>
      </c>
      <c r="F87" s="8" t="s">
        <v>22</v>
      </c>
      <c r="G87" s="8" t="s">
        <v>22</v>
      </c>
      <c r="H87" s="8" t="s">
        <v>22</v>
      </c>
      <c r="I87" s="8" t="s">
        <v>22</v>
      </c>
      <c r="J87" s="4" t="s">
        <v>22</v>
      </c>
      <c r="K87" s="8" t="s">
        <v>22</v>
      </c>
      <c r="L87" s="8" t="s">
        <v>22</v>
      </c>
      <c r="M87" s="8" t="s">
        <v>22</v>
      </c>
      <c r="N87" s="5" t="s">
        <v>22</v>
      </c>
      <c r="O87" s="6" t="s">
        <v>22</v>
      </c>
      <c r="P87" s="6" t="s">
        <v>22</v>
      </c>
      <c r="Q87" s="7" t="s">
        <v>22</v>
      </c>
    </row>
    <row r="88" spans="1:17" s="9" customFormat="1" ht="20" customHeight="1" x14ac:dyDescent="0.25">
      <c r="A88" s="11"/>
      <c r="B88" s="11"/>
      <c r="C88" s="11"/>
      <c r="D88" s="8" t="s">
        <v>23</v>
      </c>
      <c r="E88" s="3">
        <v>37</v>
      </c>
      <c r="F88" s="8">
        <v>24</v>
      </c>
      <c r="G88" s="8">
        <v>13</v>
      </c>
      <c r="H88" s="8">
        <v>15</v>
      </c>
      <c r="I88" s="8">
        <v>25</v>
      </c>
      <c r="J88" s="4">
        <f>(G88+H88)/I88</f>
        <v>1.1200000000000001</v>
      </c>
      <c r="K88" s="8">
        <v>8113</v>
      </c>
      <c r="L88" s="8">
        <v>10306</v>
      </c>
      <c r="M88" s="8">
        <f>K88-L88</f>
        <v>-2193</v>
      </c>
      <c r="N88" s="5">
        <f>K88/F88</f>
        <v>338.04166666666669</v>
      </c>
      <c r="O88" s="6">
        <v>0.41699999999999998</v>
      </c>
      <c r="P88" s="6">
        <v>0.1</v>
      </c>
      <c r="Q88" s="7">
        <v>0</v>
      </c>
    </row>
    <row r="89" spans="1:17" s="9" customFormat="1" ht="39.950000000000003" customHeight="1" x14ac:dyDescent="0.25">
      <c r="A89" s="10" t="s">
        <v>0</v>
      </c>
      <c r="B89" s="11"/>
      <c r="C89" s="11"/>
      <c r="D89" s="8" t="s">
        <v>1</v>
      </c>
      <c r="E89" s="8" t="s">
        <v>2</v>
      </c>
      <c r="F89" s="8" t="s">
        <v>3</v>
      </c>
      <c r="G89" s="8" t="s">
        <v>4</v>
      </c>
      <c r="H89" s="8" t="s">
        <v>5</v>
      </c>
      <c r="I89" s="8" t="s">
        <v>6</v>
      </c>
      <c r="J89" s="8" t="s">
        <v>7</v>
      </c>
      <c r="K89" s="8" t="s">
        <v>8</v>
      </c>
      <c r="L89" s="8" t="s">
        <v>9</v>
      </c>
      <c r="M89" s="8" t="s">
        <v>10</v>
      </c>
      <c r="N89" s="8" t="s">
        <v>11</v>
      </c>
      <c r="O89" s="8" t="s">
        <v>12</v>
      </c>
      <c r="P89" s="8" t="s">
        <v>13</v>
      </c>
      <c r="Q89" s="8" t="s">
        <v>14</v>
      </c>
    </row>
    <row r="90" spans="1:17" s="9" customFormat="1" ht="20" customHeight="1" x14ac:dyDescent="0.25">
      <c r="A90" s="10" t="s">
        <v>34</v>
      </c>
      <c r="B90" s="11"/>
      <c r="C90" s="11"/>
      <c r="D90" s="8" t="s">
        <v>16</v>
      </c>
      <c r="E90" s="3">
        <v>18</v>
      </c>
      <c r="F90" s="8">
        <v>46</v>
      </c>
      <c r="G90" s="8">
        <v>37</v>
      </c>
      <c r="H90" s="8">
        <v>38</v>
      </c>
      <c r="I90" s="8">
        <v>47</v>
      </c>
      <c r="J90" s="4">
        <f t="shared" ref="J90:J96" si="3">(G90+H90)/I90</f>
        <v>1.5957446808510638</v>
      </c>
      <c r="K90" s="8">
        <v>30182</v>
      </c>
      <c r="L90" s="8">
        <v>27797</v>
      </c>
      <c r="M90" s="8">
        <f t="shared" ref="M90:M96" si="4">K90-L90</f>
        <v>2385</v>
      </c>
      <c r="N90" s="5">
        <f t="shared" ref="N90:N96" si="5">K90/F90</f>
        <v>656.13043478260875</v>
      </c>
      <c r="O90" s="6">
        <v>0.58699999999999997</v>
      </c>
      <c r="P90" s="6">
        <v>0.48099999999999998</v>
      </c>
      <c r="Q90" s="7">
        <v>7.6999999999999999E-2</v>
      </c>
    </row>
    <row r="91" spans="1:17" s="9" customFormat="1" ht="20" customHeight="1" x14ac:dyDescent="0.25">
      <c r="A91" s="11"/>
      <c r="B91" s="11"/>
      <c r="C91" s="11"/>
      <c r="D91" s="8" t="s">
        <v>17</v>
      </c>
      <c r="E91" s="3">
        <v>16</v>
      </c>
      <c r="F91" s="8">
        <v>46</v>
      </c>
      <c r="G91" s="8">
        <v>33</v>
      </c>
      <c r="H91" s="8">
        <v>43</v>
      </c>
      <c r="I91" s="8">
        <v>46</v>
      </c>
      <c r="J91" s="4">
        <f t="shared" si="3"/>
        <v>1.6521739130434783</v>
      </c>
      <c r="K91" s="8">
        <v>24099</v>
      </c>
      <c r="L91" s="8">
        <v>24712</v>
      </c>
      <c r="M91" s="8">
        <f t="shared" si="4"/>
        <v>-613</v>
      </c>
      <c r="N91" s="5">
        <f t="shared" si="5"/>
        <v>523.89130434782612</v>
      </c>
      <c r="O91" s="6">
        <v>0.58699999999999997</v>
      </c>
      <c r="P91" s="6">
        <v>0.51900000000000002</v>
      </c>
      <c r="Q91" s="7">
        <v>7.0999999999999994E-2</v>
      </c>
    </row>
    <row r="92" spans="1:17" s="9" customFormat="1" ht="20" customHeight="1" x14ac:dyDescent="0.25">
      <c r="A92" s="11"/>
      <c r="B92" s="11"/>
      <c r="C92" s="11"/>
      <c r="D92" s="8" t="s">
        <v>18</v>
      </c>
      <c r="E92" s="3">
        <v>11</v>
      </c>
      <c r="F92" s="8">
        <v>46</v>
      </c>
      <c r="G92" s="8">
        <v>50</v>
      </c>
      <c r="H92" s="8">
        <v>62</v>
      </c>
      <c r="I92" s="8">
        <v>44</v>
      </c>
      <c r="J92" s="4">
        <f t="shared" si="3"/>
        <v>2.5454545454545454</v>
      </c>
      <c r="K92" s="8">
        <v>28211</v>
      </c>
      <c r="L92" s="8">
        <v>27318</v>
      </c>
      <c r="M92" s="8">
        <f t="shared" si="4"/>
        <v>893</v>
      </c>
      <c r="N92" s="5">
        <f t="shared" si="5"/>
        <v>613.28260869565213</v>
      </c>
      <c r="O92" s="6">
        <v>0.45700000000000002</v>
      </c>
      <c r="P92" s="6">
        <v>0.47599999999999998</v>
      </c>
      <c r="Q92" s="7">
        <v>0.3</v>
      </c>
    </row>
    <row r="93" spans="1:17" s="9" customFormat="1" ht="20" customHeight="1" x14ac:dyDescent="0.25">
      <c r="A93" s="11"/>
      <c r="B93" s="11"/>
      <c r="C93" s="11"/>
      <c r="D93" s="8" t="s">
        <v>19</v>
      </c>
      <c r="E93" s="3">
        <v>10</v>
      </c>
      <c r="F93" s="8">
        <v>46</v>
      </c>
      <c r="G93" s="8">
        <v>39</v>
      </c>
      <c r="H93" s="8">
        <v>60</v>
      </c>
      <c r="I93" s="8">
        <v>45</v>
      </c>
      <c r="J93" s="4">
        <f t="shared" si="3"/>
        <v>2.2000000000000002</v>
      </c>
      <c r="K93" s="8">
        <v>29027</v>
      </c>
      <c r="L93" s="8">
        <v>31377</v>
      </c>
      <c r="M93" s="8">
        <f t="shared" si="4"/>
        <v>-2350</v>
      </c>
      <c r="N93" s="5">
        <f t="shared" si="5"/>
        <v>631.02173913043475</v>
      </c>
      <c r="O93" s="6">
        <v>0.47799999999999998</v>
      </c>
      <c r="P93" s="6">
        <v>0.45500000000000002</v>
      </c>
      <c r="Q93" s="7">
        <v>0.2</v>
      </c>
    </row>
    <row r="94" spans="1:17" s="9" customFormat="1" ht="20" customHeight="1" x14ac:dyDescent="0.25">
      <c r="A94" s="11"/>
      <c r="B94" s="11"/>
      <c r="C94" s="11"/>
      <c r="D94" s="8" t="s">
        <v>20</v>
      </c>
      <c r="E94" s="3">
        <v>19</v>
      </c>
      <c r="F94" s="8">
        <v>46</v>
      </c>
      <c r="G94" s="8">
        <v>26</v>
      </c>
      <c r="H94" s="8">
        <v>45</v>
      </c>
      <c r="I94" s="8">
        <v>45</v>
      </c>
      <c r="J94" s="4">
        <f t="shared" si="3"/>
        <v>1.5777777777777777</v>
      </c>
      <c r="K94" s="8">
        <v>21915</v>
      </c>
      <c r="L94" s="8">
        <v>23180</v>
      </c>
      <c r="M94" s="8">
        <f t="shared" si="4"/>
        <v>-1265</v>
      </c>
      <c r="N94" s="5">
        <f t="shared" si="5"/>
        <v>476.41304347826087</v>
      </c>
      <c r="O94" s="6">
        <v>0.45700000000000002</v>
      </c>
      <c r="P94" s="6">
        <v>0.52400000000000002</v>
      </c>
      <c r="Q94" s="7">
        <v>9.0999999999999998E-2</v>
      </c>
    </row>
    <row r="95" spans="1:17" s="9" customFormat="1" ht="39.950000000000003" customHeight="1" x14ac:dyDescent="0.25">
      <c r="A95" s="11"/>
      <c r="B95" s="11"/>
      <c r="C95" s="11"/>
      <c r="D95" s="8" t="s">
        <v>21</v>
      </c>
      <c r="E95" s="3">
        <v>12</v>
      </c>
      <c r="F95" s="8">
        <v>46</v>
      </c>
      <c r="G95" s="8">
        <v>46</v>
      </c>
      <c r="H95" s="8">
        <v>52</v>
      </c>
      <c r="I95" s="8">
        <v>45</v>
      </c>
      <c r="J95" s="4">
        <f t="shared" si="3"/>
        <v>2.1777777777777776</v>
      </c>
      <c r="K95" s="8">
        <v>23165</v>
      </c>
      <c r="L95" s="8">
        <v>26004</v>
      </c>
      <c r="M95" s="8">
        <f t="shared" si="4"/>
        <v>-2839</v>
      </c>
      <c r="N95" s="5">
        <f t="shared" si="5"/>
        <v>503.58695652173913</v>
      </c>
      <c r="O95" s="6">
        <v>0.435</v>
      </c>
      <c r="P95" s="6">
        <v>0.55000000000000004</v>
      </c>
      <c r="Q95" s="7">
        <v>0.36399999999999999</v>
      </c>
    </row>
    <row r="96" spans="1:17" s="9" customFormat="1" ht="20" customHeight="1" x14ac:dyDescent="0.25">
      <c r="A96" s="11"/>
      <c r="B96" s="11"/>
      <c r="C96" s="11"/>
      <c r="D96" s="8" t="s">
        <v>23</v>
      </c>
      <c r="E96" s="3">
        <v>4</v>
      </c>
      <c r="F96" s="8">
        <v>46</v>
      </c>
      <c r="G96" s="8">
        <v>35</v>
      </c>
      <c r="H96" s="8">
        <v>80</v>
      </c>
      <c r="I96" s="8">
        <v>45</v>
      </c>
      <c r="J96" s="4">
        <f t="shared" si="3"/>
        <v>2.5555555555555554</v>
      </c>
      <c r="K96" s="8">
        <v>23112</v>
      </c>
      <c r="L96" s="8">
        <v>21274</v>
      </c>
      <c r="M96" s="8">
        <f t="shared" si="4"/>
        <v>1838</v>
      </c>
      <c r="N96" s="5">
        <f t="shared" si="5"/>
        <v>502.43478260869563</v>
      </c>
      <c r="O96" s="6">
        <v>0.58699999999999997</v>
      </c>
      <c r="P96" s="6">
        <v>0.63</v>
      </c>
      <c r="Q96" s="7">
        <v>0.11799999999999999</v>
      </c>
    </row>
    <row r="97" spans="1:17" s="9" customFormat="1" ht="39.950000000000003" customHeight="1" x14ac:dyDescent="0.25">
      <c r="A97" s="10" t="s">
        <v>0</v>
      </c>
      <c r="B97" s="11"/>
      <c r="C97" s="11"/>
      <c r="D97" s="8" t="s">
        <v>1</v>
      </c>
      <c r="E97" s="8" t="s">
        <v>2</v>
      </c>
      <c r="F97" s="8" t="s">
        <v>3</v>
      </c>
      <c r="G97" s="8" t="s">
        <v>4</v>
      </c>
      <c r="H97" s="8" t="s">
        <v>5</v>
      </c>
      <c r="I97" s="8" t="s">
        <v>6</v>
      </c>
      <c r="J97" s="8" t="s">
        <v>7</v>
      </c>
      <c r="K97" s="8" t="s">
        <v>8</v>
      </c>
      <c r="L97" s="8" t="s">
        <v>9</v>
      </c>
      <c r="M97" s="8" t="s">
        <v>10</v>
      </c>
      <c r="N97" s="8" t="s">
        <v>11</v>
      </c>
      <c r="O97" s="8" t="s">
        <v>12</v>
      </c>
      <c r="P97" s="8" t="s">
        <v>13</v>
      </c>
      <c r="Q97" s="8" t="s">
        <v>14</v>
      </c>
    </row>
    <row r="98" spans="1:17" s="9" customFormat="1" ht="20" customHeight="1" x14ac:dyDescent="0.25">
      <c r="A98" s="10" t="s">
        <v>35</v>
      </c>
      <c r="B98" s="11"/>
      <c r="C98" s="11"/>
      <c r="D98" s="8" t="s">
        <v>16</v>
      </c>
      <c r="E98" s="3" t="s">
        <v>22</v>
      </c>
      <c r="F98" s="8" t="s">
        <v>22</v>
      </c>
      <c r="G98" s="8" t="s">
        <v>22</v>
      </c>
      <c r="H98" s="8" t="s">
        <v>22</v>
      </c>
      <c r="I98" s="8" t="s">
        <v>22</v>
      </c>
      <c r="J98" s="4" t="s">
        <v>22</v>
      </c>
      <c r="K98" s="8" t="s">
        <v>22</v>
      </c>
      <c r="L98" s="8" t="s">
        <v>22</v>
      </c>
      <c r="M98" s="8" t="s">
        <v>22</v>
      </c>
      <c r="N98" s="5" t="s">
        <v>22</v>
      </c>
      <c r="O98" s="6" t="s">
        <v>22</v>
      </c>
      <c r="P98" s="6" t="s">
        <v>22</v>
      </c>
      <c r="Q98" s="7" t="s">
        <v>22</v>
      </c>
    </row>
    <row r="99" spans="1:17" s="9" customFormat="1" ht="20" customHeight="1" x14ac:dyDescent="0.25">
      <c r="A99" s="11"/>
      <c r="B99" s="11"/>
      <c r="C99" s="11"/>
      <c r="D99" s="8" t="s">
        <v>17</v>
      </c>
      <c r="E99" s="3" t="s">
        <v>22</v>
      </c>
      <c r="F99" s="8" t="s">
        <v>22</v>
      </c>
      <c r="G99" s="8" t="s">
        <v>22</v>
      </c>
      <c r="H99" s="8" t="s">
        <v>22</v>
      </c>
      <c r="I99" s="8" t="s">
        <v>22</v>
      </c>
      <c r="J99" s="4" t="s">
        <v>22</v>
      </c>
      <c r="K99" s="8" t="s">
        <v>22</v>
      </c>
      <c r="L99" s="8" t="s">
        <v>22</v>
      </c>
      <c r="M99" s="8" t="s">
        <v>22</v>
      </c>
      <c r="N99" s="5" t="s">
        <v>22</v>
      </c>
      <c r="O99" s="6" t="s">
        <v>22</v>
      </c>
      <c r="P99" s="6" t="s">
        <v>22</v>
      </c>
      <c r="Q99" s="7" t="s">
        <v>22</v>
      </c>
    </row>
    <row r="100" spans="1:17" s="9" customFormat="1" ht="20" customHeight="1" x14ac:dyDescent="0.25">
      <c r="A100" s="11"/>
      <c r="B100" s="11"/>
      <c r="C100" s="11"/>
      <c r="D100" s="8" t="s">
        <v>18</v>
      </c>
      <c r="E100" s="3">
        <v>7</v>
      </c>
      <c r="F100" s="8">
        <v>34</v>
      </c>
      <c r="G100" s="8">
        <v>47</v>
      </c>
      <c r="H100" s="8">
        <v>51</v>
      </c>
      <c r="I100" s="8">
        <v>29</v>
      </c>
      <c r="J100" s="4">
        <f>(G100+H100)/I100</f>
        <v>3.3793103448275863</v>
      </c>
      <c r="K100" s="8">
        <v>21561</v>
      </c>
      <c r="L100" s="8">
        <v>18200</v>
      </c>
      <c r="M100" s="8">
        <f>K100-L100</f>
        <v>3361</v>
      </c>
      <c r="N100" s="5">
        <f>K100/F100</f>
        <v>634.14705882352939</v>
      </c>
      <c r="O100" s="6">
        <v>0.61799999999999999</v>
      </c>
      <c r="P100" s="6">
        <v>0.57099999999999995</v>
      </c>
      <c r="Q100" s="7">
        <v>0.41699999999999998</v>
      </c>
    </row>
    <row r="101" spans="1:17" s="9" customFormat="1" ht="20" customHeight="1" x14ac:dyDescent="0.25">
      <c r="A101" s="11"/>
      <c r="B101" s="11"/>
      <c r="C101" s="11"/>
      <c r="D101" s="8" t="s">
        <v>19</v>
      </c>
      <c r="E101" s="3" t="s">
        <v>22</v>
      </c>
      <c r="F101" s="8" t="s">
        <v>22</v>
      </c>
      <c r="G101" s="8" t="s">
        <v>22</v>
      </c>
      <c r="H101" s="8" t="s">
        <v>22</v>
      </c>
      <c r="I101" s="8" t="s">
        <v>22</v>
      </c>
      <c r="J101" s="4" t="s">
        <v>22</v>
      </c>
      <c r="K101" s="8" t="s">
        <v>22</v>
      </c>
      <c r="L101" s="8" t="s">
        <v>22</v>
      </c>
      <c r="M101" s="8" t="s">
        <v>22</v>
      </c>
      <c r="N101" s="5" t="s">
        <v>22</v>
      </c>
      <c r="O101" s="6" t="s">
        <v>22</v>
      </c>
      <c r="P101" s="6" t="s">
        <v>22</v>
      </c>
      <c r="Q101" s="7" t="s">
        <v>22</v>
      </c>
    </row>
    <row r="102" spans="1:17" s="9" customFormat="1" ht="20" customHeight="1" x14ac:dyDescent="0.25">
      <c r="A102" s="11"/>
      <c r="B102" s="11"/>
      <c r="C102" s="11"/>
      <c r="D102" s="8" t="s">
        <v>20</v>
      </c>
      <c r="E102" s="3" t="s">
        <v>22</v>
      </c>
      <c r="F102" s="8" t="s">
        <v>22</v>
      </c>
      <c r="G102" s="8" t="s">
        <v>22</v>
      </c>
      <c r="H102" s="8" t="s">
        <v>22</v>
      </c>
      <c r="I102" s="8" t="s">
        <v>22</v>
      </c>
      <c r="J102" s="4" t="s">
        <v>22</v>
      </c>
      <c r="K102" s="8" t="s">
        <v>22</v>
      </c>
      <c r="L102" s="8" t="s">
        <v>22</v>
      </c>
      <c r="M102" s="8" t="s">
        <v>22</v>
      </c>
      <c r="N102" s="5" t="s">
        <v>22</v>
      </c>
      <c r="O102" s="6" t="s">
        <v>22</v>
      </c>
      <c r="P102" s="6" t="s">
        <v>22</v>
      </c>
      <c r="Q102" s="7" t="s">
        <v>22</v>
      </c>
    </row>
    <row r="103" spans="1:17" s="9" customFormat="1" ht="39.950000000000003" customHeight="1" x14ac:dyDescent="0.25">
      <c r="A103" s="11"/>
      <c r="B103" s="11"/>
      <c r="C103" s="11"/>
      <c r="D103" s="8" t="s">
        <v>21</v>
      </c>
      <c r="E103" s="3" t="s">
        <v>22</v>
      </c>
      <c r="F103" s="8" t="s">
        <v>22</v>
      </c>
      <c r="G103" s="8" t="s">
        <v>22</v>
      </c>
      <c r="H103" s="8" t="s">
        <v>22</v>
      </c>
      <c r="I103" s="8" t="s">
        <v>22</v>
      </c>
      <c r="J103" s="4" t="s">
        <v>22</v>
      </c>
      <c r="K103" s="8" t="s">
        <v>22</v>
      </c>
      <c r="L103" s="8" t="s">
        <v>22</v>
      </c>
      <c r="M103" s="8" t="s">
        <v>22</v>
      </c>
      <c r="N103" s="5" t="s">
        <v>22</v>
      </c>
      <c r="O103" s="6" t="s">
        <v>22</v>
      </c>
      <c r="P103" s="6" t="s">
        <v>22</v>
      </c>
      <c r="Q103" s="7" t="s">
        <v>22</v>
      </c>
    </row>
    <row r="104" spans="1:17" s="9" customFormat="1" ht="20" customHeight="1" x14ac:dyDescent="0.25">
      <c r="A104" s="11"/>
      <c r="B104" s="11"/>
      <c r="C104" s="11"/>
      <c r="D104" s="8" t="s">
        <v>23</v>
      </c>
      <c r="E104" s="3">
        <v>18</v>
      </c>
      <c r="F104" s="8">
        <v>42</v>
      </c>
      <c r="G104" s="8">
        <v>43</v>
      </c>
      <c r="H104" s="8">
        <v>22</v>
      </c>
      <c r="I104" s="8">
        <v>43</v>
      </c>
      <c r="J104" s="4">
        <f>(G104+H104)/I104</f>
        <v>1.5116279069767442</v>
      </c>
      <c r="K104" s="8">
        <v>13138</v>
      </c>
      <c r="L104" s="8">
        <v>16312</v>
      </c>
      <c r="M104" s="8">
        <f>K104-L104</f>
        <v>-3174</v>
      </c>
      <c r="N104" s="5">
        <f>K104/F104</f>
        <v>312.8095238095238</v>
      </c>
      <c r="O104" s="6">
        <v>0.45200000000000001</v>
      </c>
      <c r="P104" s="6">
        <v>0.26300000000000001</v>
      </c>
      <c r="Q104" s="7">
        <v>0</v>
      </c>
    </row>
    <row r="105" spans="1:17" s="9" customFormat="1" ht="39.950000000000003" customHeight="1" x14ac:dyDescent="0.25">
      <c r="A105" s="10" t="s">
        <v>0</v>
      </c>
      <c r="B105" s="11"/>
      <c r="C105" s="11"/>
      <c r="D105" s="8" t="s">
        <v>1</v>
      </c>
      <c r="E105" s="8" t="s">
        <v>2</v>
      </c>
      <c r="F105" s="8" t="s">
        <v>3</v>
      </c>
      <c r="G105" s="8" t="s">
        <v>4</v>
      </c>
      <c r="H105" s="8" t="s">
        <v>5</v>
      </c>
      <c r="I105" s="8" t="s">
        <v>6</v>
      </c>
      <c r="J105" s="8" t="s">
        <v>7</v>
      </c>
      <c r="K105" s="8" t="s">
        <v>8</v>
      </c>
      <c r="L105" s="8" t="s">
        <v>9</v>
      </c>
      <c r="M105" s="8" t="s">
        <v>10</v>
      </c>
      <c r="N105" s="8" t="s">
        <v>11</v>
      </c>
      <c r="O105" s="8" t="s">
        <v>12</v>
      </c>
      <c r="P105" s="8" t="s">
        <v>13</v>
      </c>
      <c r="Q105" s="8" t="s">
        <v>14</v>
      </c>
    </row>
    <row r="106" spans="1:17" s="9" customFormat="1" ht="20" customHeight="1" x14ac:dyDescent="0.25">
      <c r="A106" s="10" t="s">
        <v>36</v>
      </c>
      <c r="B106" s="11"/>
      <c r="C106" s="11"/>
      <c r="D106" s="8" t="s">
        <v>16</v>
      </c>
      <c r="E106" s="3" t="s">
        <v>22</v>
      </c>
      <c r="F106" s="8" t="s">
        <v>22</v>
      </c>
      <c r="G106" s="8" t="s">
        <v>22</v>
      </c>
      <c r="H106" s="8" t="s">
        <v>22</v>
      </c>
      <c r="I106" s="8" t="s">
        <v>22</v>
      </c>
      <c r="J106" s="4" t="s">
        <v>22</v>
      </c>
      <c r="K106" s="8" t="s">
        <v>22</v>
      </c>
      <c r="L106" s="8" t="s">
        <v>22</v>
      </c>
      <c r="M106" s="8" t="s">
        <v>22</v>
      </c>
      <c r="N106" s="5" t="s">
        <v>22</v>
      </c>
      <c r="O106" s="6" t="s">
        <v>22</v>
      </c>
      <c r="P106" s="6" t="s">
        <v>22</v>
      </c>
      <c r="Q106" s="7" t="s">
        <v>22</v>
      </c>
    </row>
    <row r="107" spans="1:17" s="9" customFormat="1" ht="20" customHeight="1" x14ac:dyDescent="0.25">
      <c r="A107" s="11"/>
      <c r="B107" s="11"/>
      <c r="C107" s="11"/>
      <c r="D107" s="8" t="s">
        <v>17</v>
      </c>
      <c r="E107" s="3" t="s">
        <v>22</v>
      </c>
      <c r="F107" s="8" t="s">
        <v>22</v>
      </c>
      <c r="G107" s="8" t="s">
        <v>22</v>
      </c>
      <c r="H107" s="8" t="s">
        <v>22</v>
      </c>
      <c r="I107" s="8" t="s">
        <v>22</v>
      </c>
      <c r="J107" s="4" t="s">
        <v>22</v>
      </c>
      <c r="K107" s="8" t="s">
        <v>22</v>
      </c>
      <c r="L107" s="8" t="s">
        <v>22</v>
      </c>
      <c r="M107" s="8" t="s">
        <v>22</v>
      </c>
      <c r="N107" s="5" t="s">
        <v>22</v>
      </c>
      <c r="O107" s="6" t="s">
        <v>22</v>
      </c>
      <c r="P107" s="6" t="s">
        <v>22</v>
      </c>
      <c r="Q107" s="7" t="s">
        <v>22</v>
      </c>
    </row>
    <row r="108" spans="1:17" s="9" customFormat="1" ht="20" customHeight="1" x14ac:dyDescent="0.25">
      <c r="A108" s="11"/>
      <c r="B108" s="11"/>
      <c r="C108" s="11"/>
      <c r="D108" s="8" t="s">
        <v>18</v>
      </c>
      <c r="E108" s="3">
        <v>25</v>
      </c>
      <c r="F108" s="8">
        <v>30</v>
      </c>
      <c r="G108" s="8">
        <v>19</v>
      </c>
      <c r="H108" s="8">
        <v>40</v>
      </c>
      <c r="I108" s="8">
        <v>30</v>
      </c>
      <c r="J108" s="4">
        <f>(G108+H108)/I108</f>
        <v>1.9666666666666666</v>
      </c>
      <c r="K108" s="8">
        <v>13694</v>
      </c>
      <c r="L108" s="8">
        <v>16248</v>
      </c>
      <c r="M108" s="8">
        <f>K108-L108</f>
        <v>-2554</v>
      </c>
      <c r="N108" s="5">
        <f>K108/F108</f>
        <v>456.46666666666664</v>
      </c>
      <c r="O108" s="6">
        <v>0.433</v>
      </c>
      <c r="P108" s="6">
        <v>0.308</v>
      </c>
      <c r="Q108" s="7">
        <v>0.25</v>
      </c>
    </row>
    <row r="109" spans="1:17" s="9" customFormat="1" ht="20" customHeight="1" x14ac:dyDescent="0.25">
      <c r="A109" s="11"/>
      <c r="B109" s="11"/>
      <c r="C109" s="11"/>
      <c r="D109" s="8" t="s">
        <v>19</v>
      </c>
      <c r="E109" s="3" t="s">
        <v>22</v>
      </c>
      <c r="F109" s="8" t="s">
        <v>22</v>
      </c>
      <c r="G109" s="8" t="s">
        <v>22</v>
      </c>
      <c r="H109" s="8" t="s">
        <v>22</v>
      </c>
      <c r="I109" s="8" t="s">
        <v>22</v>
      </c>
      <c r="J109" s="4" t="s">
        <v>22</v>
      </c>
      <c r="K109" s="8" t="s">
        <v>22</v>
      </c>
      <c r="L109" s="8" t="s">
        <v>22</v>
      </c>
      <c r="M109" s="8" t="s">
        <v>22</v>
      </c>
      <c r="N109" s="5" t="s">
        <v>22</v>
      </c>
      <c r="O109" s="6" t="s">
        <v>22</v>
      </c>
      <c r="P109" s="6" t="s">
        <v>22</v>
      </c>
      <c r="Q109" s="7" t="s">
        <v>22</v>
      </c>
    </row>
    <row r="110" spans="1:17" s="9" customFormat="1" ht="20" customHeight="1" x14ac:dyDescent="0.25">
      <c r="A110" s="11"/>
      <c r="B110" s="11"/>
      <c r="C110" s="11"/>
      <c r="D110" s="8" t="s">
        <v>20</v>
      </c>
      <c r="E110" s="3" t="s">
        <v>22</v>
      </c>
      <c r="F110" s="8" t="s">
        <v>22</v>
      </c>
      <c r="G110" s="8" t="s">
        <v>22</v>
      </c>
      <c r="H110" s="8" t="s">
        <v>22</v>
      </c>
      <c r="I110" s="8" t="s">
        <v>22</v>
      </c>
      <c r="J110" s="4" t="s">
        <v>22</v>
      </c>
      <c r="K110" s="8" t="s">
        <v>22</v>
      </c>
      <c r="L110" s="8" t="s">
        <v>22</v>
      </c>
      <c r="M110" s="8" t="s">
        <v>22</v>
      </c>
      <c r="N110" s="5" t="s">
        <v>22</v>
      </c>
      <c r="O110" s="6" t="s">
        <v>22</v>
      </c>
      <c r="P110" s="6" t="s">
        <v>22</v>
      </c>
      <c r="Q110" s="7" t="s">
        <v>22</v>
      </c>
    </row>
    <row r="111" spans="1:17" s="9" customFormat="1" ht="39.950000000000003" customHeight="1" x14ac:dyDescent="0.25">
      <c r="A111" s="11"/>
      <c r="B111" s="11"/>
      <c r="C111" s="11"/>
      <c r="D111" s="8" t="s">
        <v>21</v>
      </c>
      <c r="E111" s="3" t="s">
        <v>22</v>
      </c>
      <c r="F111" s="8" t="s">
        <v>22</v>
      </c>
      <c r="G111" s="8" t="s">
        <v>22</v>
      </c>
      <c r="H111" s="8" t="s">
        <v>22</v>
      </c>
      <c r="I111" s="8" t="s">
        <v>22</v>
      </c>
      <c r="J111" s="4" t="s">
        <v>22</v>
      </c>
      <c r="K111" s="8" t="s">
        <v>22</v>
      </c>
      <c r="L111" s="8" t="s">
        <v>22</v>
      </c>
      <c r="M111" s="8" t="s">
        <v>22</v>
      </c>
      <c r="N111" s="5" t="s">
        <v>22</v>
      </c>
      <c r="O111" s="6" t="s">
        <v>22</v>
      </c>
      <c r="P111" s="6" t="s">
        <v>22</v>
      </c>
      <c r="Q111" s="7" t="s">
        <v>22</v>
      </c>
    </row>
    <row r="112" spans="1:17" s="9" customFormat="1" ht="20" customHeight="1" x14ac:dyDescent="0.25">
      <c r="A112" s="11"/>
      <c r="B112" s="11"/>
      <c r="C112" s="11"/>
      <c r="D112" s="8" t="s">
        <v>23</v>
      </c>
      <c r="E112" s="3">
        <v>32</v>
      </c>
      <c r="F112" s="8">
        <v>24</v>
      </c>
      <c r="G112" s="8">
        <v>16</v>
      </c>
      <c r="H112" s="8">
        <v>13</v>
      </c>
      <c r="I112" s="8">
        <v>25</v>
      </c>
      <c r="J112" s="4">
        <f>(G112+H112)/I112</f>
        <v>1.1599999999999999</v>
      </c>
      <c r="K112" s="8">
        <v>7497</v>
      </c>
      <c r="L112" s="8">
        <v>11106</v>
      </c>
      <c r="M112" s="8">
        <f>K112-L112</f>
        <v>-3609</v>
      </c>
      <c r="N112" s="5">
        <f>K112/F112</f>
        <v>312.375</v>
      </c>
      <c r="O112" s="6">
        <v>0.625</v>
      </c>
      <c r="P112" s="6">
        <v>0.4</v>
      </c>
      <c r="Q112" s="7">
        <v>0.16700000000000001</v>
      </c>
    </row>
    <row r="113" spans="1:17" s="9" customFormat="1" ht="39.950000000000003" customHeight="1" x14ac:dyDescent="0.25">
      <c r="A113" s="10" t="s">
        <v>0</v>
      </c>
      <c r="B113" s="11"/>
      <c r="C113" s="11"/>
      <c r="D113" s="8" t="s">
        <v>1</v>
      </c>
      <c r="E113" s="8" t="s">
        <v>2</v>
      </c>
      <c r="F113" s="8" t="s">
        <v>3</v>
      </c>
      <c r="G113" s="8" t="s">
        <v>4</v>
      </c>
      <c r="H113" s="8" t="s">
        <v>5</v>
      </c>
      <c r="I113" s="8" t="s">
        <v>6</v>
      </c>
      <c r="J113" s="8" t="s">
        <v>7</v>
      </c>
      <c r="K113" s="8" t="s">
        <v>8</v>
      </c>
      <c r="L113" s="8" t="s">
        <v>9</v>
      </c>
      <c r="M113" s="8" t="s">
        <v>10</v>
      </c>
      <c r="N113" s="8" t="s">
        <v>11</v>
      </c>
      <c r="O113" s="8" t="s">
        <v>12</v>
      </c>
      <c r="P113" s="8" t="s">
        <v>13</v>
      </c>
      <c r="Q113" s="8" t="s">
        <v>14</v>
      </c>
    </row>
    <row r="114" spans="1:17" s="9" customFormat="1" ht="20" customHeight="1" x14ac:dyDescent="0.25">
      <c r="A114" s="10" t="s">
        <v>37</v>
      </c>
      <c r="B114" s="11"/>
      <c r="C114" s="11"/>
      <c r="D114" s="8" t="s">
        <v>16</v>
      </c>
      <c r="E114" s="3">
        <v>30</v>
      </c>
      <c r="F114" s="8">
        <v>17</v>
      </c>
      <c r="G114" s="8">
        <v>20</v>
      </c>
      <c r="H114" s="8">
        <v>11</v>
      </c>
      <c r="I114" s="8">
        <v>18</v>
      </c>
      <c r="J114" s="4">
        <f>(G114+H114)/I114</f>
        <v>1.7222222222222223</v>
      </c>
      <c r="K114" s="8">
        <v>7086</v>
      </c>
      <c r="L114" s="8">
        <v>7170</v>
      </c>
      <c r="M114" s="8">
        <f>K114-L114</f>
        <v>-84</v>
      </c>
      <c r="N114" s="5">
        <f>K114/F114</f>
        <v>416.8235294117647</v>
      </c>
      <c r="O114" s="6">
        <v>0.41199999999999998</v>
      </c>
      <c r="P114" s="6">
        <v>0.28599999999999998</v>
      </c>
      <c r="Q114" s="7">
        <v>0</v>
      </c>
    </row>
    <row r="115" spans="1:17" s="9" customFormat="1" ht="20" customHeight="1" x14ac:dyDescent="0.25">
      <c r="A115" s="11"/>
      <c r="B115" s="11"/>
      <c r="C115" s="11"/>
      <c r="D115" s="8" t="s">
        <v>17</v>
      </c>
      <c r="E115" s="3">
        <v>22</v>
      </c>
      <c r="F115" s="8">
        <v>36</v>
      </c>
      <c r="G115" s="8">
        <v>22</v>
      </c>
      <c r="H115" s="8">
        <v>35</v>
      </c>
      <c r="I115" s="8">
        <v>35</v>
      </c>
      <c r="J115" s="4">
        <f>(G115+H115)/I115</f>
        <v>1.6285714285714286</v>
      </c>
      <c r="K115" s="8">
        <v>14824</v>
      </c>
      <c r="L115" s="8">
        <v>14466</v>
      </c>
      <c r="M115" s="8">
        <f>K115-L115</f>
        <v>358</v>
      </c>
      <c r="N115" s="5">
        <f>K115/F115</f>
        <v>411.77777777777777</v>
      </c>
      <c r="O115" s="6">
        <v>0.5</v>
      </c>
      <c r="P115" s="6">
        <v>0.38900000000000001</v>
      </c>
      <c r="Q115" s="7">
        <v>0.14299999999999999</v>
      </c>
    </row>
    <row r="116" spans="1:17" s="9" customFormat="1" ht="20" customHeight="1" x14ac:dyDescent="0.25">
      <c r="A116" s="11"/>
      <c r="B116" s="11"/>
      <c r="C116" s="11"/>
      <c r="D116" s="8" t="s">
        <v>18</v>
      </c>
      <c r="E116" s="3">
        <v>4</v>
      </c>
      <c r="F116" s="8">
        <v>42</v>
      </c>
      <c r="G116" s="8">
        <v>41</v>
      </c>
      <c r="H116" s="8">
        <v>65</v>
      </c>
      <c r="I116" s="8">
        <v>38</v>
      </c>
      <c r="J116" s="4">
        <f>(G116+H116)/I116</f>
        <v>2.7894736842105261</v>
      </c>
      <c r="K116" s="8">
        <v>23749</v>
      </c>
      <c r="L116" s="8">
        <v>20933</v>
      </c>
      <c r="M116" s="8">
        <f>K116-L116</f>
        <v>2816</v>
      </c>
      <c r="N116" s="5">
        <f>K116/F116</f>
        <v>565.45238095238096</v>
      </c>
      <c r="O116" s="6">
        <v>0.66700000000000004</v>
      </c>
      <c r="P116" s="6">
        <v>0.57099999999999995</v>
      </c>
      <c r="Q116" s="7">
        <v>0.313</v>
      </c>
    </row>
    <row r="117" spans="1:17" s="9" customFormat="1" ht="20" customHeight="1" x14ac:dyDescent="0.25">
      <c r="A117" s="11"/>
      <c r="B117" s="11"/>
      <c r="C117" s="11"/>
      <c r="D117" s="8" t="s">
        <v>19</v>
      </c>
      <c r="E117" s="3">
        <v>16</v>
      </c>
      <c r="F117" s="8">
        <v>42</v>
      </c>
      <c r="G117" s="8">
        <v>30</v>
      </c>
      <c r="H117" s="8">
        <v>50</v>
      </c>
      <c r="I117" s="8">
        <v>42</v>
      </c>
      <c r="J117" s="4">
        <f>(G117+H117)/I117</f>
        <v>1.9047619047619047</v>
      </c>
      <c r="K117" s="8">
        <v>26822</v>
      </c>
      <c r="L117" s="8">
        <v>24993</v>
      </c>
      <c r="M117" s="8">
        <f>K117-L117</f>
        <v>1829</v>
      </c>
      <c r="N117" s="5">
        <f>K117/F117</f>
        <v>638.61904761904759</v>
      </c>
      <c r="O117" s="6">
        <v>0.5</v>
      </c>
      <c r="P117" s="6">
        <v>0.23799999999999999</v>
      </c>
      <c r="Q117" s="7">
        <v>0</v>
      </c>
    </row>
    <row r="118" spans="1:17" s="9" customFormat="1" ht="20" customHeight="1" x14ac:dyDescent="0.25">
      <c r="A118" s="11"/>
      <c r="B118" s="11"/>
      <c r="C118" s="11"/>
      <c r="D118" s="8" t="s">
        <v>20</v>
      </c>
      <c r="E118" s="3" t="s">
        <v>22</v>
      </c>
      <c r="F118" s="8" t="s">
        <v>22</v>
      </c>
      <c r="G118" s="8" t="s">
        <v>22</v>
      </c>
      <c r="H118" s="8" t="s">
        <v>22</v>
      </c>
      <c r="I118" s="8" t="s">
        <v>22</v>
      </c>
      <c r="J118" s="4" t="s">
        <v>22</v>
      </c>
      <c r="K118" s="8" t="s">
        <v>22</v>
      </c>
      <c r="L118" s="8" t="s">
        <v>22</v>
      </c>
      <c r="M118" s="8" t="s">
        <v>22</v>
      </c>
      <c r="N118" s="5" t="s">
        <v>22</v>
      </c>
      <c r="O118" s="6" t="s">
        <v>22</v>
      </c>
      <c r="P118" s="6" t="s">
        <v>22</v>
      </c>
      <c r="Q118" s="7" t="s">
        <v>22</v>
      </c>
    </row>
    <row r="119" spans="1:17" s="9" customFormat="1" ht="39.950000000000003" customHeight="1" x14ac:dyDescent="0.25">
      <c r="A119" s="11"/>
      <c r="B119" s="11"/>
      <c r="C119" s="11"/>
      <c r="D119" s="8" t="s">
        <v>21</v>
      </c>
      <c r="E119" s="3">
        <v>8</v>
      </c>
      <c r="F119" s="8">
        <v>42</v>
      </c>
      <c r="G119" s="8">
        <v>65</v>
      </c>
      <c r="H119" s="8">
        <v>60</v>
      </c>
      <c r="I119" s="8">
        <v>39</v>
      </c>
      <c r="J119" s="4">
        <f>(G119+H119)/I119</f>
        <v>3.2051282051282053</v>
      </c>
      <c r="K119" s="8">
        <v>30807</v>
      </c>
      <c r="L119" s="8">
        <v>20825</v>
      </c>
      <c r="M119" s="8">
        <f>K119-L119</f>
        <v>9982</v>
      </c>
      <c r="N119" s="5">
        <f>K119/F119</f>
        <v>733.5</v>
      </c>
      <c r="O119" s="6">
        <v>0.64300000000000002</v>
      </c>
      <c r="P119" s="6">
        <v>0.48099999999999998</v>
      </c>
      <c r="Q119" s="7">
        <v>0.23100000000000001</v>
      </c>
    </row>
    <row r="120" spans="1:17" s="9" customFormat="1" ht="20" customHeight="1" x14ac:dyDescent="0.25">
      <c r="A120" s="11"/>
      <c r="B120" s="11"/>
      <c r="C120" s="11"/>
      <c r="D120" s="8" t="s">
        <v>23</v>
      </c>
      <c r="E120" s="3">
        <v>5</v>
      </c>
      <c r="F120" s="8">
        <v>42</v>
      </c>
      <c r="G120" s="8">
        <v>52</v>
      </c>
      <c r="H120" s="8">
        <v>46</v>
      </c>
      <c r="I120" s="8">
        <v>42</v>
      </c>
      <c r="J120" s="4">
        <f>(G120+H120)/I120</f>
        <v>2.3333333333333335</v>
      </c>
      <c r="K120" s="8">
        <v>24658</v>
      </c>
      <c r="L120" s="8">
        <v>19681</v>
      </c>
      <c r="M120" s="8">
        <f>K120-L120</f>
        <v>4977</v>
      </c>
      <c r="N120" s="5">
        <f>K120/F120</f>
        <v>587.09523809523807</v>
      </c>
      <c r="O120" s="6">
        <v>0.59499999999999997</v>
      </c>
      <c r="P120" s="6">
        <v>0.48</v>
      </c>
      <c r="Q120" s="7">
        <v>0.25</v>
      </c>
    </row>
  </sheetData>
  <mergeCells count="30">
    <mergeCell ref="A25:C25"/>
    <mergeCell ref="A98:C104"/>
    <mergeCell ref="A41:C41"/>
    <mergeCell ref="A89:C89"/>
    <mergeCell ref="A82:C88"/>
    <mergeCell ref="A66:C72"/>
    <mergeCell ref="A33:C33"/>
    <mergeCell ref="A57:C57"/>
    <mergeCell ref="A113:C113"/>
    <mergeCell ref="A74:C80"/>
    <mergeCell ref="A50:C56"/>
    <mergeCell ref="A90:C96"/>
    <mergeCell ref="A97:C97"/>
    <mergeCell ref="A106:C112"/>
    <mergeCell ref="A1:C1"/>
    <mergeCell ref="A58:C64"/>
    <mergeCell ref="A34:C40"/>
    <mergeCell ref="A114:C120"/>
    <mergeCell ref="A65:C65"/>
    <mergeCell ref="A17:C17"/>
    <mergeCell ref="A81:C81"/>
    <mergeCell ref="A2:C8"/>
    <mergeCell ref="A18:C24"/>
    <mergeCell ref="A26:C32"/>
    <mergeCell ref="A9:C9"/>
    <mergeCell ref="A42:C48"/>
    <mergeCell ref="A73:C73"/>
    <mergeCell ref="A10:C16"/>
    <mergeCell ref="A49:C49"/>
    <mergeCell ref="A105:C105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zenieth</dc:creator>
  <cp:lastModifiedBy>x l</cp:lastModifiedBy>
  <dcterms:created xsi:type="dcterms:W3CDTF">2015-06-05T18:19:34Z</dcterms:created>
  <dcterms:modified xsi:type="dcterms:W3CDTF">2026-07-04T10:12:26Z</dcterms:modified>
</cp:coreProperties>
</file>