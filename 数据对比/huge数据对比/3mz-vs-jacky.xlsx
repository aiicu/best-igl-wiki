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huge数据对比\"/>
    </mc:Choice>
  </mc:AlternateContent>
  <xr:revisionPtr revIDLastSave="0" documentId="8_{EB83238F-06E5-4069-8360-0D6D70D6535C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" i="1" l="1"/>
  <c r="K32" i="1"/>
  <c r="I32" i="1"/>
  <c r="H32" i="1"/>
  <c r="G32" i="1"/>
  <c r="E32" i="1"/>
  <c r="O31" i="1"/>
  <c r="P31" i="1" s="1"/>
  <c r="Q31" i="1" s="1"/>
  <c r="Q32" i="1" s="1"/>
  <c r="N31" i="1"/>
  <c r="M31" i="1"/>
  <c r="J31" i="1"/>
  <c r="F31" i="1"/>
  <c r="Q30" i="1"/>
  <c r="P30" i="1"/>
  <c r="P32" i="1" s="1"/>
  <c r="O30" i="1"/>
  <c r="O32" i="1" s="1"/>
  <c r="N30" i="1"/>
  <c r="N32" i="1" s="1"/>
  <c r="M30" i="1"/>
  <c r="J30" i="1"/>
  <c r="F30" i="1"/>
  <c r="F32" i="1" s="1"/>
  <c r="F24" i="1"/>
  <c r="J23" i="1"/>
  <c r="F22" i="1"/>
  <c r="F23" i="1"/>
  <c r="F6" i="1"/>
  <c r="F8" i="1" s="1"/>
  <c r="F7" i="1"/>
  <c r="F14" i="1"/>
  <c r="F16" i="1" s="1"/>
  <c r="F15" i="1"/>
  <c r="L24" i="1"/>
  <c r="K24" i="1"/>
  <c r="I24" i="1"/>
  <c r="H24" i="1"/>
  <c r="G24" i="1"/>
  <c r="E24" i="1"/>
  <c r="O23" i="1"/>
  <c r="P23" i="1" s="1"/>
  <c r="Q23" i="1" s="1"/>
  <c r="M23" i="1"/>
  <c r="O22" i="1"/>
  <c r="P22" i="1" s="1"/>
  <c r="N22" i="1"/>
  <c r="M22" i="1"/>
  <c r="J22" i="1"/>
  <c r="L16" i="1"/>
  <c r="K16" i="1"/>
  <c r="I16" i="1"/>
  <c r="H16" i="1"/>
  <c r="G16" i="1"/>
  <c r="E16" i="1"/>
  <c r="O15" i="1"/>
  <c r="P15" i="1" s="1"/>
  <c r="Q15" i="1" s="1"/>
  <c r="M15" i="1"/>
  <c r="J15" i="1"/>
  <c r="O14" i="1"/>
  <c r="P14" i="1" s="1"/>
  <c r="N14" i="1"/>
  <c r="M14" i="1"/>
  <c r="M16" i="1" s="1"/>
  <c r="J14" i="1"/>
  <c r="J16" i="1" s="1"/>
  <c r="O7" i="1"/>
  <c r="P7" i="1" s="1"/>
  <c r="Q7" i="1" s="1"/>
  <c r="O6" i="1"/>
  <c r="P6" i="1" s="1"/>
  <c r="E8" i="1"/>
  <c r="L8" i="1"/>
  <c r="K8" i="1"/>
  <c r="I8" i="1"/>
  <c r="H8" i="1"/>
  <c r="G8" i="1"/>
  <c r="N7" i="1"/>
  <c r="M7" i="1"/>
  <c r="J7" i="1"/>
  <c r="N6" i="1"/>
  <c r="M6" i="1"/>
  <c r="M8" i="1" s="1"/>
  <c r="J6" i="1"/>
  <c r="J10" i="1"/>
  <c r="M10" i="1"/>
  <c r="N10" i="1"/>
  <c r="J11" i="1"/>
  <c r="M11" i="1"/>
  <c r="N11" i="1"/>
  <c r="E12" i="1"/>
  <c r="F12" i="1"/>
  <c r="G12" i="1"/>
  <c r="H12" i="1"/>
  <c r="I12" i="1"/>
  <c r="K12" i="1"/>
  <c r="L12" i="1"/>
  <c r="O12" i="1"/>
  <c r="P12" i="1"/>
  <c r="Q12" i="1"/>
  <c r="J18" i="1"/>
  <c r="M18" i="1"/>
  <c r="N18" i="1"/>
  <c r="J19" i="1"/>
  <c r="M19" i="1"/>
  <c r="N19" i="1"/>
  <c r="E20" i="1"/>
  <c r="F20" i="1"/>
  <c r="G20" i="1"/>
  <c r="H20" i="1"/>
  <c r="I20" i="1"/>
  <c r="K20" i="1"/>
  <c r="L20" i="1"/>
  <c r="O20" i="1"/>
  <c r="P20" i="1"/>
  <c r="Q20" i="1"/>
  <c r="J26" i="1"/>
  <c r="M26" i="1"/>
  <c r="N26" i="1"/>
  <c r="J27" i="1"/>
  <c r="M27" i="1"/>
  <c r="N27" i="1"/>
  <c r="E28" i="1"/>
  <c r="F28" i="1"/>
  <c r="G28" i="1"/>
  <c r="H28" i="1"/>
  <c r="I28" i="1"/>
  <c r="K28" i="1"/>
  <c r="L28" i="1"/>
  <c r="O28" i="1"/>
  <c r="P28" i="1"/>
  <c r="Q28" i="1"/>
  <c r="J2" i="1"/>
  <c r="M2" i="1"/>
  <c r="N2" i="1"/>
  <c r="J3" i="1"/>
  <c r="M3" i="1"/>
  <c r="N3" i="1"/>
  <c r="E4" i="1"/>
  <c r="F4" i="1"/>
  <c r="G4" i="1"/>
  <c r="H4" i="1"/>
  <c r="I4" i="1"/>
  <c r="K4" i="1"/>
  <c r="L4" i="1"/>
  <c r="O4" i="1"/>
  <c r="P4" i="1"/>
  <c r="Q4" i="1"/>
  <c r="M32" i="1" l="1"/>
  <c r="J32" i="1"/>
  <c r="M24" i="1"/>
  <c r="J24" i="1"/>
  <c r="N23" i="1"/>
  <c r="N24" i="1" s="1"/>
  <c r="N8" i="1"/>
  <c r="N15" i="1"/>
  <c r="P24" i="1"/>
  <c r="Q22" i="1"/>
  <c r="Q24" i="1" s="1"/>
  <c r="O24" i="1"/>
  <c r="N16" i="1"/>
  <c r="P16" i="1"/>
  <c r="Q14" i="1"/>
  <c r="Q16" i="1" s="1"/>
  <c r="O16" i="1"/>
  <c r="P8" i="1"/>
  <c r="Q6" i="1"/>
  <c r="Q8" i="1" s="1"/>
  <c r="O8" i="1"/>
  <c r="J8" i="1"/>
  <c r="J20" i="1"/>
  <c r="N12" i="1"/>
  <c r="M12" i="1"/>
  <c r="J12" i="1"/>
  <c r="M20" i="1"/>
  <c r="N20" i="1"/>
  <c r="N28" i="1"/>
  <c r="J28" i="1"/>
  <c r="M28" i="1"/>
  <c r="N4" i="1"/>
  <c r="M4" i="1"/>
  <c r="J4" i="1"/>
</calcChain>
</file>

<file path=xl/sharedStrings.xml><?xml version="1.0" encoding="utf-8"?>
<sst xmlns="http://schemas.openxmlformats.org/spreadsheetml/2006/main" count="144" uniqueCount="34">
  <si>
    <t>选手</t>
    <phoneticPr fontId="1" type="noConversion"/>
  </si>
  <si>
    <t>比赛</t>
    <phoneticPr fontId="1" type="noConversion"/>
  </si>
  <si>
    <t>3mz</t>
    <phoneticPr fontId="1" type="noConversion"/>
  </si>
  <si>
    <t>队伍排名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</si>
  <si>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</si>
  <si>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</si>
  <si>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</si>
  <si>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</si>
  <si>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</si>
  <si>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T10 -&gt; T5 %</t>
    <phoneticPr fontId="1" type="noConversion"/>
  </si>
  <si>
    <t>Top 10 %</t>
    <phoneticPr fontId="1" type="noConversion"/>
  </si>
  <si>
    <t>T5 -&gt; T1 %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</si>
  <si>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</si>
  <si>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</si>
  <si>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</si>
  <si>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</si>
  <si>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Y4-Championship</t>
    <phoneticPr fontId="1" type="noConversion"/>
  </si>
  <si>
    <t>Y4-S2 Playoffs</t>
    <phoneticPr fontId="1" type="noConversion"/>
  </si>
  <si>
    <t>Y4-Split1</t>
    <phoneticPr fontId="1" type="noConversion"/>
  </si>
  <si>
    <t>jacky</t>
    <phoneticPr fontId="1" type="noConversion"/>
  </si>
  <si>
    <t>jacky-3mz</t>
    <phoneticPr fontId="1" type="noConversion"/>
  </si>
  <si>
    <t>Y3-Split2</t>
    <phoneticPr fontId="1" type="noConversion"/>
  </si>
  <si>
    <t>shadow-df</t>
    <phoneticPr fontId="1" type="noConversion"/>
  </si>
  <si>
    <t>队伍</t>
    <phoneticPr fontId="1" type="noConversion"/>
  </si>
  <si>
    <t>平均排名</t>
    <phoneticPr fontId="1" type="noConversion"/>
  </si>
  <si>
    <t>T5 %</t>
    <phoneticPr fontId="1" type="noConversion"/>
  </si>
  <si>
    <t>T1 %</t>
    <phoneticPr fontId="1" type="noConversion"/>
  </si>
  <si>
    <t>AGL-df</t>
    <phoneticPr fontId="1" type="noConversion"/>
  </si>
  <si>
    <t>shadow（jk+zhouzhou+zhous）</t>
    <phoneticPr fontId="1" type="noConversion"/>
  </si>
  <si>
    <t>df（3mz+pite+noname）</t>
    <phoneticPr fontId="1" type="noConversion"/>
  </si>
  <si>
    <t>shadow（jk+zhouzhou+kh）</t>
    <phoneticPr fontId="1" type="noConversion"/>
  </si>
  <si>
    <t>df（3mz+pite+Roieee）</t>
    <phoneticPr fontId="1" type="noConversion"/>
  </si>
  <si>
    <t>AGL（jk+xx+qq）</t>
    <phoneticPr fontId="1" type="noConversion"/>
  </si>
  <si>
    <t>AGL（jk+bolin+qq）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</si>
</sst>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0" formatCode="0.0%"/>
    <numFmt numFmtId="181" formatCode="[Color10]0.0%;[Red]\-0.0%;0.0%"/>
    <numFmt numFmtId="182" formatCode="0.00_ "/>
    <numFmt numFmtId="183" formatCode="[Color10]0.0;[Red]\-0.0;0.0"/>
    <numFmt numFmtId="184" formatCode="0.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8"/>
  <sheetViews>
    <sheetView tabSelected="1" zoomScale="90" zoomScaleNormal="90" workbookViewId="0">
      <selection activeCell="R7" sqref="R7"/>
    </sheetView>
  </sheetViews>
  <sheetFormatPr defaultRowHeight="13.95" x14ac:dyDescent="0.25"/>
  <cols>
    <col min="4" max="4" width="29.21875" customWidth="1"/>
    <col min="5" max="13" width="12.77734375" customWidth="1"/>
    <col min="14" max="14" width="17.33203125" customWidth="1"/>
    <col min="15" max="20" width="12.77734375" customWidth="1"/>
  </cols>
  <sheetData>
    <row r="1" spans="1:28" ht="39.950000000000003" customHeight="1" x14ac:dyDescent="0.25">
      <c r="A1" s="13" t="s">
        <v>1</v>
      </c>
      <c r="B1" s="13"/>
      <c r="C1" s="13"/>
      <c r="D1" s="9" t="s">
        <v>0</v>
      </c>
      <c r="E1" s="9" t="s">
        <v>3</v>
      </c>
      <c r="F1" s="9" t="s">
        <v>14</v>
      </c>
      <c r="G1" s="9" t="s">
        <v>4</v>
      </c>
      <c r="H1" s="9" t="s">
        <v>5</v>
      </c>
      <c r="I1" s="9" t="s">
        <v>12</v>
      </c>
      <c r="J1" s="9" t="s">
        <v>13</v>
      </c>
      <c r="K1" s="9" t="s">
        <v>6</v>
      </c>
      <c r="L1" s="9" t="s">
        <v>7</v>
      </c>
      <c r="M1" s="9" t="s">
        <v>8</v>
      </c>
      <c r="N1" s="9" t="s">
        <v>15</v>
      </c>
      <c r="O1" s="9" t="s">
        <v>10</v>
      </c>
      <c r="P1" s="9" t="s">
        <v>9</v>
      </c>
      <c r="Q1" s="9" t="s">
        <v>11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20" customHeight="1" x14ac:dyDescent="0.25">
      <c r="A2" s="13" t="s">
        <v>16</v>
      </c>
      <c r="B2" s="13"/>
      <c r="C2" s="13"/>
      <c r="D2" s="9" t="s">
        <v>19</v>
      </c>
      <c r="E2" s="9">
        <v>38</v>
      </c>
      <c r="F2" s="9">
        <v>26</v>
      </c>
      <c r="G2" s="9">
        <v>15</v>
      </c>
      <c r="H2" s="9">
        <v>22</v>
      </c>
      <c r="I2" s="9">
        <v>26</v>
      </c>
      <c r="J2" s="3">
        <f>(G2+H2)/I2</f>
        <v>1.4230769230769231</v>
      </c>
      <c r="K2" s="9">
        <v>13496</v>
      </c>
      <c r="L2" s="9">
        <v>15639</v>
      </c>
      <c r="M2" s="9">
        <f>K2-L2</f>
        <v>-2143</v>
      </c>
      <c r="N2" s="8">
        <f t="shared" ref="N2:N3" si="0">K2/F2</f>
        <v>519.07692307692309</v>
      </c>
      <c r="O2" s="6">
        <v>0.38500000000000001</v>
      </c>
      <c r="P2" s="6">
        <v>0.2</v>
      </c>
      <c r="Q2" s="6">
        <v>0.5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20" customHeight="1" x14ac:dyDescent="0.25">
      <c r="A3" s="13"/>
      <c r="B3" s="13"/>
      <c r="C3" s="13"/>
      <c r="D3" s="9" t="s">
        <v>2</v>
      </c>
      <c r="E3" s="9">
        <v>35</v>
      </c>
      <c r="F3" s="9">
        <v>26</v>
      </c>
      <c r="G3" s="9">
        <v>27</v>
      </c>
      <c r="H3" s="9">
        <v>13</v>
      </c>
      <c r="I3" s="9">
        <v>26</v>
      </c>
      <c r="J3" s="3">
        <f>(G3+H3)/I3</f>
        <v>1.5384615384615385</v>
      </c>
      <c r="K3" s="9">
        <v>12306</v>
      </c>
      <c r="L3" s="9">
        <v>17033</v>
      </c>
      <c r="M3" s="9">
        <f>K3-L3</f>
        <v>-4727</v>
      </c>
      <c r="N3" s="8">
        <f t="shared" si="0"/>
        <v>473.30769230769232</v>
      </c>
      <c r="O3" s="6">
        <v>0.46200000000000002</v>
      </c>
      <c r="P3" s="6">
        <v>0.33300000000000002</v>
      </c>
      <c r="Q3" s="6">
        <v>0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20" customHeight="1" x14ac:dyDescent="0.25">
      <c r="A4" s="13"/>
      <c r="B4" s="13"/>
      <c r="C4" s="13"/>
      <c r="D4" s="9" t="s">
        <v>20</v>
      </c>
      <c r="E4" s="2">
        <f>E3-E2</f>
        <v>-3</v>
      </c>
      <c r="F4" s="2">
        <f t="shared" ref="F4:G4" si="1">F2-F3</f>
        <v>0</v>
      </c>
      <c r="G4" s="2">
        <f t="shared" si="1"/>
        <v>-12</v>
      </c>
      <c r="H4" s="2">
        <f t="shared" ref="H4:I4" si="2">H2-H3</f>
        <v>9</v>
      </c>
      <c r="I4" s="5">
        <f t="shared" si="2"/>
        <v>0</v>
      </c>
      <c r="J4" s="4">
        <f>J2-J3</f>
        <v>-0.11538461538461542</v>
      </c>
      <c r="K4" s="2">
        <f t="shared" ref="K4:L4" si="3">K2-K3</f>
        <v>1190</v>
      </c>
      <c r="L4" s="5">
        <f t="shared" si="3"/>
        <v>-1394</v>
      </c>
      <c r="M4" s="2">
        <f t="shared" ref="M4:N4" si="4">M2-M3</f>
        <v>2584</v>
      </c>
      <c r="N4" s="4">
        <f t="shared" si="4"/>
        <v>45.769230769230774</v>
      </c>
      <c r="O4" s="7">
        <f t="shared" ref="O4" si="5">O2-O3</f>
        <v>-7.7000000000000013E-2</v>
      </c>
      <c r="P4" s="7">
        <f t="shared" ref="P4" si="6">P2-P3</f>
        <v>-0.13300000000000001</v>
      </c>
      <c r="Q4" s="7">
        <f t="shared" ref="Q4" si="7">Q2-Q3</f>
        <v>0.5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39.950000000000003" customHeight="1" x14ac:dyDescent="0.25">
      <c r="A5" s="13"/>
      <c r="B5" s="13"/>
      <c r="C5" s="13"/>
      <c r="D5" s="9" t="s">
        <v>23</v>
      </c>
      <c r="E5" s="9" t="s">
        <v>24</v>
      </c>
      <c r="F5" s="9" t="s">
        <v>14</v>
      </c>
      <c r="G5" s="9" t="s">
        <v>4</v>
      </c>
      <c r="H5" s="9" t="s">
        <v>5</v>
      </c>
      <c r="I5" s="9" t="s">
        <v>12</v>
      </c>
      <c r="J5" s="9" t="s">
        <v>13</v>
      </c>
      <c r="K5" s="9" t="s">
        <v>6</v>
      </c>
      <c r="L5" s="9" t="s">
        <v>7</v>
      </c>
      <c r="M5" s="9" t="s">
        <v>8</v>
      </c>
      <c r="N5" s="9" t="s">
        <v>15</v>
      </c>
      <c r="O5" s="9" t="s">
        <v>10</v>
      </c>
      <c r="P5" s="9" t="s">
        <v>25</v>
      </c>
      <c r="Q5" s="9" t="s">
        <v>26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20" customHeight="1" x14ac:dyDescent="0.25">
      <c r="A6" s="13"/>
      <c r="B6" s="13"/>
      <c r="C6" s="13"/>
      <c r="D6" s="9" t="s">
        <v>28</v>
      </c>
      <c r="E6" s="12">
        <v>13.1</v>
      </c>
      <c r="F6" s="9">
        <f>F2</f>
        <v>26</v>
      </c>
      <c r="G6" s="9">
        <v>50</v>
      </c>
      <c r="H6" s="9">
        <v>54</v>
      </c>
      <c r="I6" s="9">
        <v>78</v>
      </c>
      <c r="J6" s="3">
        <f>(G6+H6)/I6</f>
        <v>1.3333333333333333</v>
      </c>
      <c r="K6" s="9">
        <v>37371</v>
      </c>
      <c r="L6" s="9">
        <v>43640</v>
      </c>
      <c r="M6" s="9">
        <f>K6-L6</f>
        <v>-6269</v>
      </c>
      <c r="N6" s="8">
        <f t="shared" ref="N6:N7" si="8">K6/F6</f>
        <v>1437.3461538461538</v>
      </c>
      <c r="O6" s="6">
        <f>O2</f>
        <v>0.38500000000000001</v>
      </c>
      <c r="P6" s="6">
        <f>P2*O6</f>
        <v>7.7000000000000013E-2</v>
      </c>
      <c r="Q6" s="6">
        <f>P6*Q2</f>
        <v>3.8500000000000006E-2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20" customHeight="1" x14ac:dyDescent="0.25">
      <c r="A7" s="13"/>
      <c r="B7" s="13"/>
      <c r="C7" s="13"/>
      <c r="D7" s="9" t="s">
        <v>29</v>
      </c>
      <c r="E7" s="12">
        <v>11.4</v>
      </c>
      <c r="F7" s="9">
        <f>F3</f>
        <v>26</v>
      </c>
      <c r="G7" s="9">
        <v>53</v>
      </c>
      <c r="H7" s="9">
        <v>66</v>
      </c>
      <c r="I7" s="9">
        <v>79</v>
      </c>
      <c r="J7" s="3">
        <f>(G7+H7)/I7</f>
        <v>1.5063291139240507</v>
      </c>
      <c r="K7" s="9">
        <v>41421</v>
      </c>
      <c r="L7" s="9">
        <v>46897</v>
      </c>
      <c r="M7" s="9">
        <f>K7-L7</f>
        <v>-5476</v>
      </c>
      <c r="N7" s="8">
        <f t="shared" si="8"/>
        <v>1593.1153846153845</v>
      </c>
      <c r="O7" s="6">
        <f>O3</f>
        <v>0.46200000000000002</v>
      </c>
      <c r="P7" s="6">
        <f>P3*O7</f>
        <v>0.15384600000000001</v>
      </c>
      <c r="Q7" s="6">
        <f>P7*Q3</f>
        <v>0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20" customHeight="1" x14ac:dyDescent="0.25">
      <c r="A8" s="13"/>
      <c r="B8" s="13"/>
      <c r="C8" s="13"/>
      <c r="D8" s="9" t="s">
        <v>22</v>
      </c>
      <c r="E8" s="11">
        <f>E7-E6</f>
        <v>-1.6999999999999993</v>
      </c>
      <c r="F8" s="2">
        <f t="shared" ref="F8:I8" si="9">F6-F7</f>
        <v>0</v>
      </c>
      <c r="G8" s="2">
        <f t="shared" si="9"/>
        <v>-3</v>
      </c>
      <c r="H8" s="2">
        <f t="shared" si="9"/>
        <v>-12</v>
      </c>
      <c r="I8" s="5">
        <f t="shared" si="9"/>
        <v>-1</v>
      </c>
      <c r="J8" s="4">
        <f>J6-J7</f>
        <v>-0.17299578059071741</v>
      </c>
      <c r="K8" s="2">
        <f t="shared" ref="K8:Q8" si="10">K6-K7</f>
        <v>-4050</v>
      </c>
      <c r="L8" s="5">
        <f t="shared" si="10"/>
        <v>-3257</v>
      </c>
      <c r="M8" s="2">
        <f t="shared" si="10"/>
        <v>-793</v>
      </c>
      <c r="N8" s="4">
        <f t="shared" si="10"/>
        <v>-155.76923076923072</v>
      </c>
      <c r="O8" s="7">
        <f t="shared" si="10"/>
        <v>-7.7000000000000013E-2</v>
      </c>
      <c r="P8" s="7">
        <f t="shared" si="10"/>
        <v>-7.6845999999999998E-2</v>
      </c>
      <c r="Q8" s="7">
        <f t="shared" si="10"/>
        <v>3.8500000000000006E-2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39.950000000000003" customHeight="1" x14ac:dyDescent="0.25">
      <c r="A9" s="13" t="s">
        <v>1</v>
      </c>
      <c r="B9" s="13"/>
      <c r="C9" s="13"/>
      <c r="D9" s="1" t="s">
        <v>0</v>
      </c>
      <c r="E9" s="1" t="s">
        <v>3</v>
      </c>
      <c r="F9" s="1" t="s">
        <v>14</v>
      </c>
      <c r="G9" s="1" t="s">
        <v>4</v>
      </c>
      <c r="H9" s="1" t="s">
        <v>5</v>
      </c>
      <c r="I9" s="1" t="s">
        <v>12</v>
      </c>
      <c r="J9" s="1" t="s">
        <v>13</v>
      </c>
      <c r="K9" s="1" t="s">
        <v>6</v>
      </c>
      <c r="L9" s="1" t="s">
        <v>7</v>
      </c>
      <c r="M9" s="1" t="s">
        <v>8</v>
      </c>
      <c r="N9" s="1" t="s">
        <v>15</v>
      </c>
      <c r="O9" s="1" t="s">
        <v>10</v>
      </c>
      <c r="P9" s="1" t="s">
        <v>9</v>
      </c>
      <c r="Q9" s="1" t="s">
        <v>11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0" customHeight="1" x14ac:dyDescent="0.25">
      <c r="A10" s="13" t="s">
        <v>17</v>
      </c>
      <c r="B10" s="13"/>
      <c r="C10" s="13"/>
      <c r="D10" s="9" t="s">
        <v>19</v>
      </c>
      <c r="E10" s="1">
        <v>22</v>
      </c>
      <c r="F10" s="1">
        <v>30</v>
      </c>
      <c r="G10" s="1">
        <v>21</v>
      </c>
      <c r="H10" s="1">
        <v>47</v>
      </c>
      <c r="I10" s="1">
        <v>31</v>
      </c>
      <c r="J10" s="3">
        <f>(G10+H10)/I10</f>
        <v>2.193548387096774</v>
      </c>
      <c r="K10" s="1">
        <v>12267</v>
      </c>
      <c r="L10" s="1">
        <v>13046</v>
      </c>
      <c r="M10" s="1">
        <f>K10-L10</f>
        <v>-779</v>
      </c>
      <c r="N10" s="8">
        <f t="shared" ref="N10:N11" si="11">K10/F10</f>
        <v>408.9</v>
      </c>
      <c r="O10" s="6">
        <v>0.46700000000000003</v>
      </c>
      <c r="P10" s="6">
        <v>0.42899999999999999</v>
      </c>
      <c r="Q10" s="6">
        <v>0.16700000000000001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0" customHeight="1" x14ac:dyDescent="0.25">
      <c r="A11" s="13"/>
      <c r="B11" s="13"/>
      <c r="C11" s="13"/>
      <c r="D11" s="9" t="s">
        <v>2</v>
      </c>
      <c r="E11" s="1">
        <v>13</v>
      </c>
      <c r="F11" s="1">
        <v>40</v>
      </c>
      <c r="G11" s="1">
        <v>12</v>
      </c>
      <c r="H11" s="1">
        <v>61</v>
      </c>
      <c r="I11" s="1">
        <v>39</v>
      </c>
      <c r="J11" s="3">
        <f>(G11+H11)/I11</f>
        <v>1.8717948717948718</v>
      </c>
      <c r="K11" s="1">
        <v>17165</v>
      </c>
      <c r="L11" s="1">
        <v>16406</v>
      </c>
      <c r="M11" s="1">
        <f>K11-L11</f>
        <v>759</v>
      </c>
      <c r="N11" s="8">
        <f t="shared" si="11"/>
        <v>429.125</v>
      </c>
      <c r="O11" s="6">
        <v>0.52500000000000002</v>
      </c>
      <c r="P11" s="6">
        <v>0.42899999999999999</v>
      </c>
      <c r="Q11" s="6">
        <v>0.111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0" customHeight="1" x14ac:dyDescent="0.25">
      <c r="A12" s="13"/>
      <c r="B12" s="13"/>
      <c r="C12" s="13"/>
      <c r="D12" s="9" t="s">
        <v>20</v>
      </c>
      <c r="E12" s="2">
        <f>E11-E10</f>
        <v>-9</v>
      </c>
      <c r="F12" s="2">
        <f t="shared" ref="F12:G12" si="12">F10-F11</f>
        <v>-10</v>
      </c>
      <c r="G12" s="2">
        <f t="shared" si="12"/>
        <v>9</v>
      </c>
      <c r="H12" s="2">
        <f t="shared" ref="H12:I12" si="13">H10-H11</f>
        <v>-14</v>
      </c>
      <c r="I12" s="5">
        <f t="shared" si="13"/>
        <v>-8</v>
      </c>
      <c r="J12" s="4">
        <f>J10-J11</f>
        <v>0.32175351530190222</v>
      </c>
      <c r="K12" s="2">
        <f t="shared" ref="K12:L12" si="14">K10-K11</f>
        <v>-4898</v>
      </c>
      <c r="L12" s="5">
        <f t="shared" si="14"/>
        <v>-3360</v>
      </c>
      <c r="M12" s="2">
        <f t="shared" ref="M12:N12" si="15">M10-M11</f>
        <v>-1538</v>
      </c>
      <c r="N12" s="4">
        <f t="shared" si="15"/>
        <v>-20.225000000000023</v>
      </c>
      <c r="O12" s="7">
        <f t="shared" ref="O12" si="16">O10-O11</f>
        <v>-5.7999999999999996E-2</v>
      </c>
      <c r="P12" s="7">
        <f t="shared" ref="P12" si="17">P10-P11</f>
        <v>0</v>
      </c>
      <c r="Q12" s="7">
        <f t="shared" ref="Q12" si="18">Q10-Q11</f>
        <v>5.6000000000000008E-2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9.950000000000003" customHeight="1" x14ac:dyDescent="0.25">
      <c r="A13" s="13"/>
      <c r="B13" s="13"/>
      <c r="C13" s="13"/>
      <c r="D13" s="9" t="s">
        <v>23</v>
      </c>
      <c r="E13" s="9" t="s">
        <v>24</v>
      </c>
      <c r="F13" s="9" t="s">
        <v>14</v>
      </c>
      <c r="G13" s="9" t="s">
        <v>4</v>
      </c>
      <c r="H13" s="9" t="s">
        <v>5</v>
      </c>
      <c r="I13" s="9" t="s">
        <v>12</v>
      </c>
      <c r="J13" s="9" t="s">
        <v>13</v>
      </c>
      <c r="K13" s="9" t="s">
        <v>6</v>
      </c>
      <c r="L13" s="9" t="s">
        <v>7</v>
      </c>
      <c r="M13" s="9" t="s">
        <v>8</v>
      </c>
      <c r="N13" s="9" t="s">
        <v>15</v>
      </c>
      <c r="O13" s="9" t="s">
        <v>10</v>
      </c>
      <c r="P13" s="9" t="s">
        <v>25</v>
      </c>
      <c r="Q13" s="9" t="s">
        <v>26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20" customHeight="1" x14ac:dyDescent="0.25">
      <c r="A14" s="13"/>
      <c r="B14" s="13"/>
      <c r="C14" s="13"/>
      <c r="D14" s="9" t="s">
        <v>30</v>
      </c>
      <c r="E14" s="12">
        <v>11</v>
      </c>
      <c r="F14" s="9">
        <f>F10</f>
        <v>30</v>
      </c>
      <c r="G14" s="9">
        <v>83</v>
      </c>
      <c r="H14" s="9">
        <v>102</v>
      </c>
      <c r="I14" s="9">
        <v>97</v>
      </c>
      <c r="J14" s="3">
        <f>(G14+H14)/I14</f>
        <v>1.9072164948453609</v>
      </c>
      <c r="K14" s="9">
        <v>45215</v>
      </c>
      <c r="L14" s="9">
        <v>50143</v>
      </c>
      <c r="M14" s="9">
        <f>K14-L14</f>
        <v>-4928</v>
      </c>
      <c r="N14" s="8">
        <f t="shared" ref="N14:N15" si="19">K14/F14</f>
        <v>1507.1666666666667</v>
      </c>
      <c r="O14" s="6">
        <f>O10</f>
        <v>0.46700000000000003</v>
      </c>
      <c r="P14" s="6">
        <f>P10*O14</f>
        <v>0.20034300000000002</v>
      </c>
      <c r="Q14" s="6">
        <f>P14*Q10</f>
        <v>3.3457281000000005E-2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20" customHeight="1" x14ac:dyDescent="0.25">
      <c r="A15" s="13"/>
      <c r="B15" s="13"/>
      <c r="C15" s="13"/>
      <c r="D15" s="9" t="s">
        <v>29</v>
      </c>
      <c r="E15" s="12">
        <v>10.8</v>
      </c>
      <c r="F15" s="9">
        <f>F11</f>
        <v>40</v>
      </c>
      <c r="G15" s="9">
        <v>106</v>
      </c>
      <c r="H15" s="9">
        <v>117</v>
      </c>
      <c r="I15" s="9">
        <v>117</v>
      </c>
      <c r="J15" s="3">
        <f>(G15+H15)/I15</f>
        <v>1.9059829059829059</v>
      </c>
      <c r="K15" s="9">
        <v>68069</v>
      </c>
      <c r="L15" s="9">
        <v>63462</v>
      </c>
      <c r="M15" s="9">
        <f>K15-L15</f>
        <v>4607</v>
      </c>
      <c r="N15" s="8">
        <f t="shared" si="19"/>
        <v>1701.7249999999999</v>
      </c>
      <c r="O15" s="6">
        <f>O11</f>
        <v>0.52500000000000002</v>
      </c>
      <c r="P15" s="6">
        <f>P11*O15</f>
        <v>0.22522500000000001</v>
      </c>
      <c r="Q15" s="6">
        <f>P15*Q11</f>
        <v>2.4999975000000001E-2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20" customHeight="1" x14ac:dyDescent="0.25">
      <c r="A16" s="13"/>
      <c r="B16" s="13"/>
      <c r="C16" s="13"/>
      <c r="D16" s="9" t="s">
        <v>22</v>
      </c>
      <c r="E16" s="11">
        <f>E15-E14</f>
        <v>-0.19999999999999929</v>
      </c>
      <c r="F16" s="2">
        <f t="shared" ref="F16:I16" si="20">F14-F15</f>
        <v>-10</v>
      </c>
      <c r="G16" s="2">
        <f t="shared" si="20"/>
        <v>-23</v>
      </c>
      <c r="H16" s="2">
        <f t="shared" si="20"/>
        <v>-15</v>
      </c>
      <c r="I16" s="5">
        <f t="shared" si="20"/>
        <v>-20</v>
      </c>
      <c r="J16" s="4">
        <f>J14-J15</f>
        <v>1.2335888624550595E-3</v>
      </c>
      <c r="K16" s="2">
        <f t="shared" ref="K16:Q16" si="21">K14-K15</f>
        <v>-22854</v>
      </c>
      <c r="L16" s="5">
        <f t="shared" si="21"/>
        <v>-13319</v>
      </c>
      <c r="M16" s="2">
        <f t="shared" si="21"/>
        <v>-9535</v>
      </c>
      <c r="N16" s="4">
        <f t="shared" si="21"/>
        <v>-194.55833333333317</v>
      </c>
      <c r="O16" s="7">
        <f t="shared" si="21"/>
        <v>-5.7999999999999996E-2</v>
      </c>
      <c r="P16" s="7">
        <f t="shared" si="21"/>
        <v>-2.4881999999999987E-2</v>
      </c>
      <c r="Q16" s="7">
        <f t="shared" si="21"/>
        <v>8.4573060000000047E-3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39.950000000000003" customHeight="1" x14ac:dyDescent="0.25">
      <c r="A17" s="13" t="s">
        <v>1</v>
      </c>
      <c r="B17" s="13"/>
      <c r="C17" s="13"/>
      <c r="D17" s="9" t="s">
        <v>0</v>
      </c>
      <c r="E17" s="9" t="s">
        <v>3</v>
      </c>
      <c r="F17" s="9" t="s">
        <v>14</v>
      </c>
      <c r="G17" s="9" t="s">
        <v>4</v>
      </c>
      <c r="H17" s="9" t="s">
        <v>5</v>
      </c>
      <c r="I17" s="9" t="s">
        <v>12</v>
      </c>
      <c r="J17" s="9" t="s">
        <v>13</v>
      </c>
      <c r="K17" s="9" t="s">
        <v>6</v>
      </c>
      <c r="L17" s="9" t="s">
        <v>7</v>
      </c>
      <c r="M17" s="9" t="s">
        <v>8</v>
      </c>
      <c r="N17" s="9" t="s">
        <v>15</v>
      </c>
      <c r="O17" s="9" t="s">
        <v>10</v>
      </c>
      <c r="P17" s="9" t="s">
        <v>9</v>
      </c>
      <c r="Q17" s="9" t="s">
        <v>11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0" customHeight="1" x14ac:dyDescent="0.25">
      <c r="A18" s="13" t="s">
        <v>18</v>
      </c>
      <c r="B18" s="13"/>
      <c r="C18" s="13"/>
      <c r="D18" s="9" t="s">
        <v>19</v>
      </c>
      <c r="E18" s="9">
        <v>12</v>
      </c>
      <c r="F18" s="9">
        <v>46</v>
      </c>
      <c r="G18" s="9">
        <v>46</v>
      </c>
      <c r="H18" s="9">
        <v>52</v>
      </c>
      <c r="I18" s="9">
        <v>45</v>
      </c>
      <c r="J18" s="3">
        <f t="shared" ref="J18:J19" si="22">(G18+H18)/I18</f>
        <v>2.1777777777777776</v>
      </c>
      <c r="K18" s="9">
        <v>23821</v>
      </c>
      <c r="L18" s="9">
        <v>28147</v>
      </c>
      <c r="M18" s="9">
        <f t="shared" ref="M18:M19" si="23">K18-L18</f>
        <v>-4326</v>
      </c>
      <c r="N18" s="8">
        <f t="shared" ref="N18:N19" si="24">K18/F18</f>
        <v>517.8478260869565</v>
      </c>
      <c r="O18" s="6">
        <v>0.435</v>
      </c>
      <c r="P18" s="6">
        <v>0.55000000000000004</v>
      </c>
      <c r="Q18" s="6">
        <v>0.36399999999999999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0" customHeight="1" x14ac:dyDescent="0.25">
      <c r="A19" s="13"/>
      <c r="B19" s="13"/>
      <c r="C19" s="13"/>
      <c r="D19" s="9" t="s">
        <v>2</v>
      </c>
      <c r="E19" s="9">
        <v>11</v>
      </c>
      <c r="F19" s="9">
        <v>46</v>
      </c>
      <c r="G19" s="9">
        <v>50</v>
      </c>
      <c r="H19" s="9">
        <v>62</v>
      </c>
      <c r="I19" s="9">
        <v>44</v>
      </c>
      <c r="J19" s="3">
        <f t="shared" si="22"/>
        <v>2.5454545454545454</v>
      </c>
      <c r="K19" s="9">
        <v>28602</v>
      </c>
      <c r="L19" s="9">
        <v>28168</v>
      </c>
      <c r="M19" s="9">
        <f t="shared" si="23"/>
        <v>434</v>
      </c>
      <c r="N19" s="8">
        <f t="shared" si="24"/>
        <v>621.78260869565213</v>
      </c>
      <c r="O19" s="6">
        <v>0.45700000000000002</v>
      </c>
      <c r="P19" s="6">
        <v>0.47599999999999998</v>
      </c>
      <c r="Q19" s="6">
        <v>0.3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0" customHeight="1" x14ac:dyDescent="0.25">
      <c r="A20" s="13"/>
      <c r="B20" s="13"/>
      <c r="C20" s="13"/>
      <c r="D20" s="9" t="s">
        <v>20</v>
      </c>
      <c r="E20" s="2">
        <f t="shared" ref="E20" si="25">E19-E18</f>
        <v>-1</v>
      </c>
      <c r="F20" s="2">
        <f t="shared" ref="F20:Q20" si="26">F18-F19</f>
        <v>0</v>
      </c>
      <c r="G20" s="2">
        <f t="shared" si="26"/>
        <v>-4</v>
      </c>
      <c r="H20" s="2">
        <f t="shared" si="26"/>
        <v>-10</v>
      </c>
      <c r="I20" s="5">
        <f t="shared" si="26"/>
        <v>1</v>
      </c>
      <c r="J20" s="4">
        <f t="shared" si="26"/>
        <v>-0.36767676767676782</v>
      </c>
      <c r="K20" s="2">
        <f t="shared" si="26"/>
        <v>-4781</v>
      </c>
      <c r="L20" s="5">
        <f t="shared" si="26"/>
        <v>-21</v>
      </c>
      <c r="M20" s="2">
        <f t="shared" si="26"/>
        <v>-4760</v>
      </c>
      <c r="N20" s="4">
        <f t="shared" si="26"/>
        <v>-103.93478260869563</v>
      </c>
      <c r="O20" s="7">
        <f t="shared" si="26"/>
        <v>-2.200000000000002E-2</v>
      </c>
      <c r="P20" s="7">
        <f t="shared" si="26"/>
        <v>7.4000000000000066E-2</v>
      </c>
      <c r="Q20" s="7">
        <f t="shared" si="26"/>
        <v>6.4000000000000001E-2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9.950000000000003" customHeight="1" x14ac:dyDescent="0.25">
      <c r="A21" s="13"/>
      <c r="B21" s="13"/>
      <c r="C21" s="13"/>
      <c r="D21" s="9" t="s">
        <v>23</v>
      </c>
      <c r="E21" s="9" t="s">
        <v>24</v>
      </c>
      <c r="F21" s="9" t="s">
        <v>14</v>
      </c>
      <c r="G21" s="9" t="s">
        <v>4</v>
      </c>
      <c r="H21" s="9" t="s">
        <v>5</v>
      </c>
      <c r="I21" s="9" t="s">
        <v>12</v>
      </c>
      <c r="J21" s="9" t="s">
        <v>13</v>
      </c>
      <c r="K21" s="9" t="s">
        <v>6</v>
      </c>
      <c r="L21" s="9" t="s">
        <v>7</v>
      </c>
      <c r="M21" s="9" t="s">
        <v>8</v>
      </c>
      <c r="N21" s="9" t="s">
        <v>15</v>
      </c>
      <c r="O21" s="9" t="s">
        <v>10</v>
      </c>
      <c r="P21" s="9" t="s">
        <v>25</v>
      </c>
      <c r="Q21" s="9" t="s">
        <v>26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20" customHeight="1" x14ac:dyDescent="0.25">
      <c r="A22" s="13"/>
      <c r="B22" s="13"/>
      <c r="C22" s="13"/>
      <c r="D22" s="9" t="s">
        <v>32</v>
      </c>
      <c r="E22" s="12">
        <v>11.2</v>
      </c>
      <c r="F22" s="9">
        <f>F18</f>
        <v>46</v>
      </c>
      <c r="G22" s="9">
        <v>131</v>
      </c>
      <c r="H22" s="9">
        <v>146</v>
      </c>
      <c r="I22" s="9">
        <v>133</v>
      </c>
      <c r="J22" s="3">
        <f>(G22+H22)/I22</f>
        <v>2.0827067669172932</v>
      </c>
      <c r="K22" s="9">
        <v>65483</v>
      </c>
      <c r="L22" s="9">
        <v>81013</v>
      </c>
      <c r="M22" s="9">
        <f>K22-L22</f>
        <v>-15530</v>
      </c>
      <c r="N22" s="8">
        <f t="shared" ref="N22:N23" si="27">K22/F22</f>
        <v>1423.5434782608695</v>
      </c>
      <c r="O22" s="6">
        <f>O18</f>
        <v>0.435</v>
      </c>
      <c r="P22" s="6">
        <f>P18*O22</f>
        <v>0.23925000000000002</v>
      </c>
      <c r="Q22" s="6">
        <f>P22*Q18</f>
        <v>8.7086999999999998E-2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20" customHeight="1" x14ac:dyDescent="0.25">
      <c r="A23" s="13"/>
      <c r="B23" s="13"/>
      <c r="C23" s="13"/>
      <c r="D23" s="9" t="s">
        <v>31</v>
      </c>
      <c r="E23" s="12">
        <v>10.3</v>
      </c>
      <c r="F23" s="9">
        <f>F19</f>
        <v>46</v>
      </c>
      <c r="G23" s="9">
        <v>151</v>
      </c>
      <c r="H23" s="9">
        <v>175</v>
      </c>
      <c r="I23" s="9">
        <v>132</v>
      </c>
      <c r="J23" s="3">
        <f>(G23+H23)/I23</f>
        <v>2.4696969696969697</v>
      </c>
      <c r="K23" s="9">
        <v>85210</v>
      </c>
      <c r="L23" s="9">
        <v>77809</v>
      </c>
      <c r="M23" s="9">
        <f>K23-L23</f>
        <v>7401</v>
      </c>
      <c r="N23" s="8">
        <f t="shared" si="27"/>
        <v>1852.391304347826</v>
      </c>
      <c r="O23" s="6">
        <f>O19</f>
        <v>0.45700000000000002</v>
      </c>
      <c r="P23" s="6">
        <f>P19*O23</f>
        <v>0.217532</v>
      </c>
      <c r="Q23" s="6">
        <f>P23*Q19</f>
        <v>6.5259600000000001E-2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20" customHeight="1" x14ac:dyDescent="0.25">
      <c r="A24" s="13"/>
      <c r="B24" s="13"/>
      <c r="C24" s="13"/>
      <c r="D24" s="9" t="s">
        <v>27</v>
      </c>
      <c r="E24" s="11">
        <f>E23-E22</f>
        <v>-0.89999999999999858</v>
      </c>
      <c r="F24" s="2">
        <f>F22-F23</f>
        <v>0</v>
      </c>
      <c r="G24" s="2">
        <f t="shared" ref="G24:I24" si="28">G22-G23</f>
        <v>-20</v>
      </c>
      <c r="H24" s="2">
        <f t="shared" si="28"/>
        <v>-29</v>
      </c>
      <c r="I24" s="5">
        <f t="shared" si="28"/>
        <v>1</v>
      </c>
      <c r="J24" s="4">
        <f>J22-J23</f>
        <v>-0.38699020277967655</v>
      </c>
      <c r="K24" s="2">
        <f t="shared" ref="K24:Q24" si="29">K22-K23</f>
        <v>-19727</v>
      </c>
      <c r="L24" s="5">
        <f t="shared" si="29"/>
        <v>3204</v>
      </c>
      <c r="M24" s="2">
        <f t="shared" si="29"/>
        <v>-22931</v>
      </c>
      <c r="N24" s="4">
        <f t="shared" si="29"/>
        <v>-428.8478260869565</v>
      </c>
      <c r="O24" s="7">
        <f t="shared" si="29"/>
        <v>-2.200000000000002E-2</v>
      </c>
      <c r="P24" s="7">
        <f t="shared" si="29"/>
        <v>2.1718000000000015E-2</v>
      </c>
      <c r="Q24" s="7">
        <f t="shared" si="29"/>
        <v>2.1827399999999997E-2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39.950000000000003" customHeight="1" x14ac:dyDescent="0.25">
      <c r="A25" s="13" t="s">
        <v>1</v>
      </c>
      <c r="B25" s="13"/>
      <c r="C25" s="13"/>
      <c r="D25" s="1" t="s">
        <v>0</v>
      </c>
      <c r="E25" s="1" t="s">
        <v>3</v>
      </c>
      <c r="F25" s="1" t="s">
        <v>14</v>
      </c>
      <c r="G25" s="1" t="s">
        <v>4</v>
      </c>
      <c r="H25" s="1" t="s">
        <v>5</v>
      </c>
      <c r="I25" s="1" t="s">
        <v>12</v>
      </c>
      <c r="J25" s="1" t="s">
        <v>13</v>
      </c>
      <c r="K25" s="1" t="s">
        <v>6</v>
      </c>
      <c r="L25" s="1" t="s">
        <v>7</v>
      </c>
      <c r="M25" s="1" t="s">
        <v>8</v>
      </c>
      <c r="N25" s="1" t="s">
        <v>15</v>
      </c>
      <c r="O25" s="1" t="s">
        <v>10</v>
      </c>
      <c r="P25" s="1" t="s">
        <v>9</v>
      </c>
      <c r="Q25" s="1" t="s">
        <v>11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0" customHeight="1" x14ac:dyDescent="0.25">
      <c r="A26" s="13" t="s">
        <v>21</v>
      </c>
      <c r="B26" s="13"/>
      <c r="C26" s="13"/>
      <c r="D26" s="9" t="s">
        <v>19</v>
      </c>
      <c r="E26" s="1">
        <v>8</v>
      </c>
      <c r="F26" s="1">
        <v>42</v>
      </c>
      <c r="G26" s="1">
        <v>65</v>
      </c>
      <c r="H26" s="1">
        <v>60</v>
      </c>
      <c r="I26" s="1">
        <v>39</v>
      </c>
      <c r="J26" s="3">
        <f t="shared" ref="J26:J27" si="30">(G26+H26)/I26</f>
        <v>3.2051282051282053</v>
      </c>
      <c r="K26" s="1">
        <v>30863</v>
      </c>
      <c r="L26" s="1">
        <v>22759</v>
      </c>
      <c r="M26" s="1">
        <f>K26-L26</f>
        <v>8104</v>
      </c>
      <c r="N26" s="8">
        <f t="shared" ref="N26:N27" si="31">K26/F26</f>
        <v>734.83333333333337</v>
      </c>
      <c r="O26" s="6">
        <v>0.64300000000000002</v>
      </c>
      <c r="P26" s="6">
        <v>0.48099999999999998</v>
      </c>
      <c r="Q26" s="6">
        <v>0.23100000000000001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0" customHeight="1" x14ac:dyDescent="0.25">
      <c r="A27" s="13"/>
      <c r="B27" s="13"/>
      <c r="C27" s="13"/>
      <c r="D27" s="9" t="s">
        <v>2</v>
      </c>
      <c r="E27" s="1">
        <v>4</v>
      </c>
      <c r="F27" s="1">
        <v>42</v>
      </c>
      <c r="G27" s="1">
        <v>41</v>
      </c>
      <c r="H27" s="1">
        <v>65</v>
      </c>
      <c r="I27" s="1">
        <v>38</v>
      </c>
      <c r="J27" s="3">
        <f t="shared" si="30"/>
        <v>2.7894736842105261</v>
      </c>
      <c r="K27" s="1">
        <v>23749</v>
      </c>
      <c r="L27" s="1">
        <v>22209</v>
      </c>
      <c r="M27" s="1">
        <f t="shared" ref="M27" si="32">K27-L27</f>
        <v>1540</v>
      </c>
      <c r="N27" s="8">
        <f t="shared" si="31"/>
        <v>565.45238095238096</v>
      </c>
      <c r="O27" s="6">
        <v>0.66700000000000004</v>
      </c>
      <c r="P27" s="6">
        <v>0.57099999999999995</v>
      </c>
      <c r="Q27" s="6">
        <v>0.313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0" customHeight="1" x14ac:dyDescent="0.25">
      <c r="A28" s="13"/>
      <c r="B28" s="13"/>
      <c r="C28" s="13"/>
      <c r="D28" s="9" t="s">
        <v>20</v>
      </c>
      <c r="E28" s="2">
        <f t="shared" ref="E28" si="33">E27-E26</f>
        <v>-4</v>
      </c>
      <c r="F28" s="2">
        <f t="shared" ref="F28:G28" si="34">F26-F27</f>
        <v>0</v>
      </c>
      <c r="G28" s="2">
        <f t="shared" si="34"/>
        <v>24</v>
      </c>
      <c r="H28" s="2">
        <f t="shared" ref="H28:I28" si="35">H26-H27</f>
        <v>-5</v>
      </c>
      <c r="I28" s="5">
        <f t="shared" si="35"/>
        <v>1</v>
      </c>
      <c r="J28" s="4">
        <f t="shared" ref="J28" si="36">J26-J27</f>
        <v>0.41565452091767918</v>
      </c>
      <c r="K28" s="2">
        <f t="shared" ref="K28:L28" si="37">K26-K27</f>
        <v>7114</v>
      </c>
      <c r="L28" s="5">
        <f t="shared" si="37"/>
        <v>550</v>
      </c>
      <c r="M28" s="2">
        <f t="shared" ref="M28:N28" si="38">M26-M27</f>
        <v>6564</v>
      </c>
      <c r="N28" s="4">
        <f t="shared" si="38"/>
        <v>169.38095238095241</v>
      </c>
      <c r="O28" s="7">
        <f t="shared" ref="O28" si="39">O26-O27</f>
        <v>-2.4000000000000021E-2</v>
      </c>
      <c r="P28" s="7">
        <f t="shared" ref="P28" si="40">P26-P27</f>
        <v>-8.9999999999999969E-2</v>
      </c>
      <c r="Q28" s="7">
        <f t="shared" ref="Q28" si="41">Q26-Q27</f>
        <v>-8.199999999999999E-2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9.950000000000003" customHeight="1" x14ac:dyDescent="0.25">
      <c r="A29" s="13"/>
      <c r="B29" s="13"/>
      <c r="C29" s="13"/>
      <c r="D29" s="9" t="s">
        <v>23</v>
      </c>
      <c r="E29" s="9" t="s">
        <v>24</v>
      </c>
      <c r="F29" s="9" t="s">
        <v>14</v>
      </c>
      <c r="G29" s="9" t="s">
        <v>4</v>
      </c>
      <c r="H29" s="9" t="s">
        <v>5</v>
      </c>
      <c r="I29" s="9" t="s">
        <v>12</v>
      </c>
      <c r="J29" s="9" t="s">
        <v>13</v>
      </c>
      <c r="K29" s="9" t="s">
        <v>6</v>
      </c>
      <c r="L29" s="9" t="s">
        <v>7</v>
      </c>
      <c r="M29" s="9" t="s">
        <v>8</v>
      </c>
      <c r="N29" s="9" t="s">
        <v>15</v>
      </c>
      <c r="O29" s="9" t="s">
        <v>10</v>
      </c>
      <c r="P29" s="9" t="s">
        <v>25</v>
      </c>
      <c r="Q29" s="9" t="s">
        <v>26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ht="20" customHeight="1" x14ac:dyDescent="0.25">
      <c r="A30" s="13"/>
      <c r="B30" s="13"/>
      <c r="C30" s="13"/>
      <c r="D30" s="9" t="s">
        <v>33</v>
      </c>
      <c r="E30" s="12">
        <v>8.8000000000000007</v>
      </c>
      <c r="F30" s="9">
        <f>F26</f>
        <v>42</v>
      </c>
      <c r="G30" s="9">
        <v>163</v>
      </c>
      <c r="H30" s="9">
        <v>162</v>
      </c>
      <c r="I30" s="9">
        <v>118</v>
      </c>
      <c r="J30" s="3">
        <f>(G30+H30)/I30</f>
        <v>2.7542372881355934</v>
      </c>
      <c r="K30" s="9">
        <v>79196</v>
      </c>
      <c r="L30" s="9">
        <v>68110</v>
      </c>
      <c r="M30" s="9">
        <f>K30-L30</f>
        <v>11086</v>
      </c>
      <c r="N30" s="8">
        <f t="shared" ref="N30:N31" si="42">K30/F30</f>
        <v>1885.6190476190477</v>
      </c>
      <c r="O30" s="6">
        <f>O26</f>
        <v>0.64300000000000002</v>
      </c>
      <c r="P30" s="6">
        <f>P26*O30</f>
        <v>0.30928299999999997</v>
      </c>
      <c r="Q30" s="6">
        <f>P30*Q26</f>
        <v>7.1444372999999992E-2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ht="20" customHeight="1" x14ac:dyDescent="0.25">
      <c r="A31" s="13"/>
      <c r="B31" s="13"/>
      <c r="C31" s="13"/>
      <c r="D31" s="9" t="s">
        <v>31</v>
      </c>
      <c r="E31" s="12">
        <v>8</v>
      </c>
      <c r="F31" s="9">
        <f>F27</f>
        <v>42</v>
      </c>
      <c r="G31" s="9">
        <v>162</v>
      </c>
      <c r="H31" s="9">
        <v>175</v>
      </c>
      <c r="I31" s="9">
        <v>114</v>
      </c>
      <c r="J31" s="3">
        <f>(G31+H31)/I31</f>
        <v>2.9561403508771931</v>
      </c>
      <c r="K31" s="9">
        <v>86796</v>
      </c>
      <c r="L31" s="9">
        <v>72961</v>
      </c>
      <c r="M31" s="9">
        <f>K31-L31</f>
        <v>13835</v>
      </c>
      <c r="N31" s="8">
        <f t="shared" si="42"/>
        <v>2066.5714285714284</v>
      </c>
      <c r="O31" s="6">
        <f>O27</f>
        <v>0.66700000000000004</v>
      </c>
      <c r="P31" s="6">
        <f>P27*O31</f>
        <v>0.380857</v>
      </c>
      <c r="Q31" s="6">
        <f>P31*Q27</f>
        <v>0.11920824100000001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ht="20" customHeight="1" x14ac:dyDescent="0.25">
      <c r="A32" s="13"/>
      <c r="B32" s="13"/>
      <c r="C32" s="13"/>
      <c r="D32" s="9" t="s">
        <v>27</v>
      </c>
      <c r="E32" s="11">
        <f>E31-E30</f>
        <v>-0.80000000000000071</v>
      </c>
      <c r="F32" s="2">
        <f>F30-F31</f>
        <v>0</v>
      </c>
      <c r="G32" s="2">
        <f t="shared" ref="G32:I32" si="43">G30-G31</f>
        <v>1</v>
      </c>
      <c r="H32" s="2">
        <f t="shared" si="43"/>
        <v>-13</v>
      </c>
      <c r="I32" s="5">
        <f t="shared" si="43"/>
        <v>4</v>
      </c>
      <c r="J32" s="4">
        <f>J30-J31</f>
        <v>-0.20190306274159964</v>
      </c>
      <c r="K32" s="2">
        <f t="shared" ref="K32:Q32" si="44">K30-K31</f>
        <v>-7600</v>
      </c>
      <c r="L32" s="5">
        <f t="shared" si="44"/>
        <v>-4851</v>
      </c>
      <c r="M32" s="2">
        <f t="shared" si="44"/>
        <v>-2749</v>
      </c>
      <c r="N32" s="4">
        <f t="shared" si="44"/>
        <v>-180.95238095238074</v>
      </c>
      <c r="O32" s="7">
        <f t="shared" si="44"/>
        <v>-2.4000000000000021E-2</v>
      </c>
      <c r="P32" s="7">
        <f t="shared" si="44"/>
        <v>-7.1574000000000026E-2</v>
      </c>
      <c r="Q32" s="7">
        <f t="shared" si="44"/>
        <v>-4.7763868000000015E-2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ht="20" customHeight="1" x14ac:dyDescent="0.25">
      <c r="A33" s="13"/>
      <c r="B33" s="13"/>
      <c r="C33" s="13"/>
      <c r="D33" s="9"/>
      <c r="E33" s="9"/>
      <c r="F33" s="9"/>
      <c r="G33" s="9"/>
      <c r="H33" s="9"/>
      <c r="I33" s="9"/>
      <c r="J33" s="3"/>
      <c r="K33" s="9"/>
      <c r="L33" s="9"/>
      <c r="M33" s="9"/>
      <c r="N33" s="8"/>
      <c r="O33" s="6"/>
      <c r="P33" s="6"/>
      <c r="Q33" s="6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20" customHeight="1" x14ac:dyDescent="0.25">
      <c r="A34" s="13"/>
      <c r="B34" s="13"/>
      <c r="C34" s="13"/>
      <c r="D34" s="9"/>
      <c r="E34" s="9"/>
      <c r="F34" s="9"/>
      <c r="G34" s="9"/>
      <c r="H34" s="9"/>
      <c r="I34" s="9"/>
      <c r="J34" s="3"/>
      <c r="K34" s="9"/>
      <c r="L34" s="9"/>
      <c r="M34" s="9"/>
      <c r="N34" s="8"/>
      <c r="O34" s="6"/>
      <c r="P34" s="6"/>
      <c r="Q34" s="6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ht="20" customHeight="1" x14ac:dyDescent="0.25">
      <c r="A35" s="13"/>
      <c r="B35" s="13"/>
      <c r="C35" s="13"/>
      <c r="D35" s="9"/>
      <c r="E35" s="2"/>
      <c r="F35" s="2"/>
      <c r="G35" s="2"/>
      <c r="H35" s="2"/>
      <c r="I35" s="5"/>
      <c r="J35" s="4"/>
      <c r="K35" s="2"/>
      <c r="L35" s="5"/>
      <c r="M35" s="2"/>
      <c r="N35" s="4"/>
      <c r="O35" s="7"/>
      <c r="P35" s="7"/>
      <c r="Q35" s="7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ht="39.950000000000003" customHeight="1" x14ac:dyDescent="0.25">
      <c r="A36" s="13"/>
      <c r="B36" s="13"/>
      <c r="C36" s="13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ht="20" customHeight="1" x14ac:dyDescent="0.25">
      <c r="A37" s="13"/>
      <c r="B37" s="13"/>
      <c r="C37" s="13"/>
      <c r="D37" s="9"/>
      <c r="E37" s="9"/>
      <c r="F37" s="9"/>
      <c r="G37" s="9"/>
      <c r="H37" s="9"/>
      <c r="I37" s="9"/>
      <c r="J37" s="3"/>
      <c r="K37" s="9"/>
      <c r="L37" s="9"/>
      <c r="M37" s="9"/>
      <c r="N37" s="8"/>
      <c r="O37" s="6"/>
      <c r="P37" s="6"/>
      <c r="Q37" s="6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ht="20" customHeight="1" x14ac:dyDescent="0.25">
      <c r="A38" s="13"/>
      <c r="B38" s="13"/>
      <c r="C38" s="13"/>
      <c r="D38" s="9"/>
      <c r="E38" s="9"/>
      <c r="F38" s="9"/>
      <c r="G38" s="9"/>
      <c r="H38" s="9"/>
      <c r="I38" s="9"/>
      <c r="J38" s="3"/>
      <c r="K38" s="9"/>
      <c r="L38" s="9"/>
      <c r="M38" s="9"/>
      <c r="N38" s="8"/>
      <c r="O38" s="6"/>
      <c r="P38" s="6"/>
      <c r="Q38" s="6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ht="20" customHeight="1" x14ac:dyDescent="0.25">
      <c r="A39" s="13"/>
      <c r="B39" s="13"/>
      <c r="C39" s="13"/>
      <c r="D39" s="9"/>
      <c r="E39" s="2"/>
      <c r="F39" s="2"/>
      <c r="G39" s="2"/>
      <c r="H39" s="2"/>
      <c r="I39" s="5"/>
      <c r="J39" s="4"/>
      <c r="K39" s="2"/>
      <c r="L39" s="5"/>
      <c r="M39" s="2"/>
      <c r="N39" s="4"/>
      <c r="O39" s="7"/>
      <c r="P39" s="7"/>
      <c r="Q39" s="7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 ht="39.950000000000003" customHeight="1" x14ac:dyDescent="0.25">
      <c r="A40" s="13"/>
      <c r="B40" s="13"/>
      <c r="C40" s="13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 ht="39.950000000000003" customHeight="1" x14ac:dyDescent="0.25">
      <c r="A41" s="10"/>
      <c r="B41" s="10"/>
      <c r="C41" s="10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ht="20" customHeight="1" x14ac:dyDescent="0.25">
      <c r="A42" s="13"/>
      <c r="B42" s="13"/>
      <c r="C42" s="13"/>
      <c r="D42" s="9"/>
      <c r="E42" s="9"/>
      <c r="F42" s="9"/>
      <c r="G42" s="9"/>
      <c r="H42" s="9"/>
      <c r="I42" s="9"/>
      <c r="J42" s="3"/>
      <c r="K42" s="9"/>
      <c r="L42" s="9"/>
      <c r="M42" s="9"/>
      <c r="N42" s="8"/>
      <c r="O42" s="6"/>
      <c r="P42" s="6"/>
      <c r="Q42" s="6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ht="20" customHeight="1" x14ac:dyDescent="0.25">
      <c r="A43" s="13"/>
      <c r="B43" s="13"/>
      <c r="C43" s="13"/>
      <c r="D43" s="9"/>
      <c r="E43" s="9"/>
      <c r="F43" s="9"/>
      <c r="G43" s="9"/>
      <c r="H43" s="9"/>
      <c r="I43" s="9"/>
      <c r="J43" s="3"/>
      <c r="K43" s="9"/>
      <c r="L43" s="9"/>
      <c r="M43" s="9"/>
      <c r="N43" s="8"/>
      <c r="O43" s="6"/>
      <c r="P43" s="6"/>
      <c r="Q43" s="6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ht="20" customHeight="1" x14ac:dyDescent="0.25">
      <c r="A44" s="13"/>
      <c r="B44" s="13"/>
      <c r="C44" s="13"/>
      <c r="D44" s="9"/>
      <c r="E44" s="2"/>
      <c r="F44" s="2"/>
      <c r="G44" s="2"/>
      <c r="H44" s="2"/>
      <c r="I44" s="5"/>
      <c r="J44" s="4"/>
      <c r="K44" s="2"/>
      <c r="L44" s="5"/>
      <c r="M44" s="2"/>
      <c r="N44" s="4"/>
      <c r="O44" s="7"/>
      <c r="P44" s="7"/>
      <c r="Q44" s="7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ht="39.950000000000003" customHeight="1" x14ac:dyDescent="0.25">
      <c r="A45" s="13"/>
      <c r="B45" s="13"/>
      <c r="C45" s="13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ht="20" customHeight="1" x14ac:dyDescent="0.25">
      <c r="A46" s="13"/>
      <c r="B46" s="13"/>
      <c r="C46" s="13"/>
      <c r="D46" s="9"/>
      <c r="E46" s="9"/>
      <c r="F46" s="9"/>
      <c r="G46" s="9"/>
      <c r="H46" s="9"/>
      <c r="I46" s="9"/>
      <c r="J46" s="3"/>
      <c r="K46" s="9"/>
      <c r="L46" s="9"/>
      <c r="M46" s="9"/>
      <c r="N46" s="8"/>
      <c r="O46" s="6"/>
      <c r="P46" s="6"/>
      <c r="Q46" s="6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20" customHeight="1" x14ac:dyDescent="0.25">
      <c r="A47" s="13"/>
      <c r="B47" s="13"/>
      <c r="C47" s="13"/>
      <c r="D47" s="9"/>
      <c r="E47" s="9"/>
      <c r="F47" s="9"/>
      <c r="G47" s="9"/>
      <c r="H47" s="9"/>
      <c r="I47" s="9"/>
      <c r="J47" s="3"/>
      <c r="K47" s="9"/>
      <c r="L47" s="9"/>
      <c r="M47" s="9"/>
      <c r="N47" s="8"/>
      <c r="O47" s="6"/>
      <c r="P47" s="6"/>
      <c r="Q47" s="6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 ht="20" customHeight="1" x14ac:dyDescent="0.25">
      <c r="A48" s="13"/>
      <c r="B48" s="13"/>
      <c r="C48" s="13"/>
      <c r="D48" s="9"/>
      <c r="E48" s="2"/>
      <c r="F48" s="2"/>
      <c r="G48" s="2"/>
      <c r="H48" s="2"/>
      <c r="I48" s="5"/>
      <c r="J48" s="4"/>
      <c r="K48" s="2"/>
      <c r="L48" s="5"/>
      <c r="M48" s="2"/>
      <c r="N48" s="4"/>
      <c r="O48" s="7"/>
      <c r="P48" s="7"/>
      <c r="Q48" s="7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ht="39.950000000000003" customHeight="1" x14ac:dyDescent="0.25">
      <c r="A49" s="13"/>
      <c r="B49" s="13"/>
      <c r="C49" s="13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 ht="20" customHeight="1" x14ac:dyDescent="0.25">
      <c r="A50" s="13"/>
      <c r="B50" s="13"/>
      <c r="C50" s="13"/>
      <c r="D50" s="1"/>
      <c r="E50" s="1"/>
      <c r="F50" s="1"/>
      <c r="G50" s="1"/>
      <c r="H50" s="1"/>
      <c r="I50" s="1"/>
      <c r="J50" s="3"/>
      <c r="K50" s="1"/>
      <c r="L50" s="1"/>
      <c r="M50" s="1"/>
      <c r="N50" s="8"/>
      <c r="O50" s="6"/>
      <c r="P50" s="6"/>
      <c r="Q50" s="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20" customHeight="1" x14ac:dyDescent="0.25">
      <c r="A51" s="13"/>
      <c r="B51" s="13"/>
      <c r="C51" s="13"/>
      <c r="D51" s="1"/>
      <c r="E51" s="1"/>
      <c r="F51" s="1"/>
      <c r="G51" s="1"/>
      <c r="H51" s="1"/>
      <c r="I51" s="1"/>
      <c r="J51" s="3"/>
      <c r="K51" s="1"/>
      <c r="L51" s="1"/>
      <c r="M51" s="1"/>
      <c r="N51" s="8"/>
      <c r="O51" s="6"/>
      <c r="P51" s="6"/>
      <c r="Q51" s="6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20" customHeight="1" x14ac:dyDescent="0.25">
      <c r="A52" s="13"/>
      <c r="B52" s="13"/>
      <c r="C52" s="13"/>
      <c r="D52" s="1"/>
      <c r="E52" s="2"/>
      <c r="F52" s="2"/>
      <c r="G52" s="2"/>
      <c r="H52" s="2"/>
      <c r="I52" s="5"/>
      <c r="J52" s="4"/>
      <c r="K52" s="2"/>
      <c r="L52" s="5"/>
      <c r="M52" s="2"/>
      <c r="N52" s="4"/>
      <c r="O52" s="7"/>
      <c r="P52" s="7"/>
      <c r="Q52" s="7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39.950000000000003" customHeight="1" x14ac:dyDescent="0.25">
      <c r="A53" s="13"/>
      <c r="B53" s="13"/>
      <c r="C53" s="1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</sheetData>
  <mergeCells count="18">
    <mergeCell ref="A53:C53"/>
    <mergeCell ref="A50:C52"/>
    <mergeCell ref="A45:C45"/>
    <mergeCell ref="A49:C49"/>
    <mergeCell ref="A42:C44"/>
    <mergeCell ref="A46:C48"/>
    <mergeCell ref="A18:C24"/>
    <mergeCell ref="A1:C1"/>
    <mergeCell ref="A9:C9"/>
    <mergeCell ref="A17:C17"/>
    <mergeCell ref="A2:C8"/>
    <mergeCell ref="A10:C16"/>
    <mergeCell ref="A40:C40"/>
    <mergeCell ref="A26:C32"/>
    <mergeCell ref="A25:C25"/>
    <mergeCell ref="A33:C35"/>
    <mergeCell ref="A36:C36"/>
    <mergeCell ref="A37:C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2026-03-29T07:57:34Z</dcterms:modified>
</cp:coreProperties>
</file>