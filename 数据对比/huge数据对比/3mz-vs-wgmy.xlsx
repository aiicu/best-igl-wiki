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7BAF0B74-C56A-4BB8-A1F3-1457DE747D12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O20" i="1"/>
  <c r="K20" i="1"/>
  <c r="G20" i="1"/>
  <c r="F20" i="1"/>
  <c r="E20" i="1"/>
  <c r="N19" i="1"/>
  <c r="N18" i="1"/>
  <c r="N20" i="1" l="1"/>
  <c r="M15" i="1"/>
  <c r="M11" i="1"/>
  <c r="M12" i="1" s="1"/>
  <c r="M7" i="1"/>
  <c r="Q12" i="1"/>
  <c r="P12" i="1"/>
  <c r="O12" i="1"/>
  <c r="L12" i="1"/>
  <c r="K12" i="1"/>
  <c r="I12" i="1"/>
  <c r="H12" i="1"/>
  <c r="G12" i="1"/>
  <c r="F12" i="1"/>
  <c r="E12" i="1"/>
  <c r="N11" i="1"/>
  <c r="J11" i="1"/>
  <c r="N10" i="1"/>
  <c r="M10" i="1"/>
  <c r="J10" i="1"/>
  <c r="Q16" i="1"/>
  <c r="P16" i="1"/>
  <c r="O16" i="1"/>
  <c r="L16" i="1"/>
  <c r="K16" i="1"/>
  <c r="I16" i="1"/>
  <c r="H16" i="1"/>
  <c r="G16" i="1"/>
  <c r="F16" i="1"/>
  <c r="E16" i="1"/>
  <c r="N15" i="1"/>
  <c r="J15" i="1"/>
  <c r="N14" i="1"/>
  <c r="N16" i="1" s="1"/>
  <c r="M14" i="1"/>
  <c r="M16" i="1" s="1"/>
  <c r="J14" i="1"/>
  <c r="J16" i="1" s="1"/>
  <c r="Q8" i="1"/>
  <c r="P8" i="1"/>
  <c r="O8" i="1"/>
  <c r="L8" i="1"/>
  <c r="K8" i="1"/>
  <c r="I8" i="1"/>
  <c r="H8" i="1"/>
  <c r="G8" i="1"/>
  <c r="F8" i="1"/>
  <c r="E8" i="1"/>
  <c r="N7" i="1"/>
  <c r="J7" i="1"/>
  <c r="N6" i="1"/>
  <c r="M6" i="1"/>
  <c r="M8" i="1" s="1"/>
  <c r="J6" i="1"/>
  <c r="Q4" i="1"/>
  <c r="P4" i="1"/>
  <c r="O4" i="1"/>
  <c r="L4" i="1"/>
  <c r="K4" i="1"/>
  <c r="I4" i="1"/>
  <c r="H4" i="1"/>
  <c r="G4" i="1"/>
  <c r="F4" i="1"/>
  <c r="E4" i="1"/>
  <c r="N3" i="1"/>
  <c r="M3" i="1"/>
  <c r="J3" i="1"/>
  <c r="N2" i="1"/>
  <c r="N4" i="1" s="1"/>
  <c r="M2" i="1"/>
  <c r="M4" i="1" s="1"/>
  <c r="J2" i="1"/>
  <c r="J4" i="1" s="1"/>
  <c r="N12" i="1" l="1"/>
  <c r="J12" i="1"/>
  <c r="N8" i="1"/>
  <c r="J8" i="1"/>
</calcChain>
</file>

<file path=xl/sharedStrings.xml><?xml version="1.0" encoding="utf-8"?>
<sst xmlns="http://schemas.openxmlformats.org/spreadsheetml/2006/main" count="113" uniqueCount="26">
  <si>
    <t>选手</t>
    <phoneticPr fontId="1" type="noConversion"/>
  </si>
  <si>
    <t>比赛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</si>
  <si>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</si>
  <si>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</si>
  <si>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</si>
  <si>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</si>
  <si>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</si>
  <si>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</si>
  <si>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</si>
  <si>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</si>
  <si>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</si>
  <si>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</si>
  <si>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</si>
  <si>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</si>
  <si>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</si>
  <si>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</si>
  <si>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Y4-Split1</t>
    <phoneticPr fontId="1" type="noConversion"/>
  </si>
  <si>
    <t>Y3-Split2</t>
    <phoneticPr fontId="1" type="noConversion"/>
  </si>
  <si>
    <t>Y3-Championship</t>
    <phoneticPr fontId="1" type="noConversion"/>
  </si>
  <si>
    <t>Y3-S2 Playoffs</t>
    <phoneticPr fontId="1" type="noConversion"/>
  </si>
  <si>
    <t>Mingyue</t>
    <phoneticPr fontId="1" type="noConversion"/>
  </si>
  <si>
    <t>Mingyue-3mz</t>
    <phoneticPr fontId="1" type="noConversion"/>
  </si>
  <si>
    <t>Y3-Split1</t>
    <phoneticPr fontId="1" type="noConversion"/>
  </si>
  <si>
    <t>*</t>
    <phoneticPr fontId="1" type="noConversion"/>
  </si>
  <si>
    <t>风暴点平均排名</t>
    <phoneticPr fontId="1" type="noConversion"/>
  </si>
  <si>
    <t>世界尽头平均排名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</si>
</sst>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S5" sqref="S5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17" width="16.77734375" customWidth="1"/>
    <col min="18" max="20" width="12.77734375" customWidth="1"/>
  </cols>
  <sheetData>
    <row r="1" spans="1:28" ht="39.950000000000003" customHeight="1" x14ac:dyDescent="0.25">
      <c r="A1" s="11" t="s">
        <v>1</v>
      </c>
      <c r="B1" s="11"/>
      <c r="C1" s="11"/>
      <c r="D1" s="10" t="s">
        <v>0</v>
      </c>
      <c r="E1" s="10" t="s">
        <v>3</v>
      </c>
      <c r="F1" s="10" t="s">
        <v>14</v>
      </c>
      <c r="G1" s="10" t="s">
        <v>4</v>
      </c>
      <c r="H1" s="10" t="s">
        <v>5</v>
      </c>
      <c r="I1" s="10" t="s">
        <v>12</v>
      </c>
      <c r="J1" s="10" t="s">
        <v>13</v>
      </c>
      <c r="K1" s="10" t="s">
        <v>6</v>
      </c>
      <c r="L1" s="10" t="s">
        <v>7</v>
      </c>
      <c r="M1" s="10" t="s">
        <v>8</v>
      </c>
      <c r="N1" s="10" t="s">
        <v>15</v>
      </c>
      <c r="O1" s="10" t="s">
        <v>10</v>
      </c>
      <c r="P1" s="10" t="s">
        <v>9</v>
      </c>
      <c r="Q1" s="10" t="s">
        <v>11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1" t="s">
        <v>16</v>
      </c>
      <c r="B2" s="11"/>
      <c r="C2" s="11"/>
      <c r="D2" s="10" t="s">
        <v>20</v>
      </c>
      <c r="E2" s="10">
        <v>4</v>
      </c>
      <c r="F2" s="10">
        <v>46</v>
      </c>
      <c r="G2" s="10">
        <v>35</v>
      </c>
      <c r="H2" s="10">
        <v>80</v>
      </c>
      <c r="I2" s="10">
        <v>45</v>
      </c>
      <c r="J2" s="3">
        <f t="shared" ref="J2:J3" si="0">(G2+H2)/I2</f>
        <v>2.5555555555555554</v>
      </c>
      <c r="K2" s="10">
        <v>23904</v>
      </c>
      <c r="L2" s="10">
        <v>22574</v>
      </c>
      <c r="M2" s="10">
        <f t="shared" ref="M2:M3" si="1">K2-L2</f>
        <v>1330</v>
      </c>
      <c r="N2" s="8">
        <f t="shared" ref="N2:N3" si="2">K2/F2</f>
        <v>519.6521739130435</v>
      </c>
      <c r="O2" s="6">
        <v>0.58699999999999997</v>
      </c>
      <c r="P2" s="6">
        <v>0.63</v>
      </c>
      <c r="Q2" s="6">
        <v>0.11799999999999999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1"/>
      <c r="B3" s="11"/>
      <c r="C3" s="11"/>
      <c r="D3" s="10" t="s">
        <v>2</v>
      </c>
      <c r="E3" s="10">
        <v>11</v>
      </c>
      <c r="F3" s="10">
        <v>46</v>
      </c>
      <c r="G3" s="10">
        <v>50</v>
      </c>
      <c r="H3" s="10">
        <v>62</v>
      </c>
      <c r="I3" s="10">
        <v>44</v>
      </c>
      <c r="J3" s="3">
        <f t="shared" si="0"/>
        <v>2.5454545454545454</v>
      </c>
      <c r="K3" s="10">
        <v>28602</v>
      </c>
      <c r="L3" s="10">
        <v>28168</v>
      </c>
      <c r="M3" s="10">
        <f t="shared" si="1"/>
        <v>434</v>
      </c>
      <c r="N3" s="8">
        <f t="shared" si="2"/>
        <v>621.78260869565213</v>
      </c>
      <c r="O3" s="6">
        <v>0.45700000000000002</v>
      </c>
      <c r="P3" s="6">
        <v>0.47599999999999998</v>
      </c>
      <c r="Q3" s="6">
        <v>0.3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1"/>
      <c r="B4" s="11"/>
      <c r="C4" s="11"/>
      <c r="D4" s="10" t="s">
        <v>21</v>
      </c>
      <c r="E4" s="2">
        <f t="shared" ref="E4" si="3">E3-E2</f>
        <v>7</v>
      </c>
      <c r="F4" s="2">
        <f t="shared" ref="F4:Q4" si="4">F2-F3</f>
        <v>0</v>
      </c>
      <c r="G4" s="2">
        <f t="shared" si="4"/>
        <v>-15</v>
      </c>
      <c r="H4" s="2">
        <f t="shared" si="4"/>
        <v>18</v>
      </c>
      <c r="I4" s="5">
        <f t="shared" si="4"/>
        <v>1</v>
      </c>
      <c r="J4" s="4">
        <f t="shared" si="4"/>
        <v>1.0101010101009944E-2</v>
      </c>
      <c r="K4" s="2">
        <f t="shared" si="4"/>
        <v>-4698</v>
      </c>
      <c r="L4" s="5">
        <f t="shared" si="4"/>
        <v>-5594</v>
      </c>
      <c r="M4" s="2">
        <f t="shared" si="4"/>
        <v>896</v>
      </c>
      <c r="N4" s="4">
        <f t="shared" si="4"/>
        <v>-102.13043478260863</v>
      </c>
      <c r="O4" s="7">
        <f t="shared" si="4"/>
        <v>0.12999999999999995</v>
      </c>
      <c r="P4" s="7">
        <f t="shared" si="4"/>
        <v>0.15400000000000003</v>
      </c>
      <c r="Q4" s="7">
        <f t="shared" si="4"/>
        <v>-0.182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1" t="s">
        <v>1</v>
      </c>
      <c r="B5" s="11"/>
      <c r="C5" s="11"/>
      <c r="D5" s="10" t="s">
        <v>0</v>
      </c>
      <c r="E5" s="10" t="s">
        <v>3</v>
      </c>
      <c r="F5" s="10" t="s">
        <v>14</v>
      </c>
      <c r="G5" s="10" t="s">
        <v>4</v>
      </c>
      <c r="H5" s="10" t="s">
        <v>5</v>
      </c>
      <c r="I5" s="10" t="s">
        <v>12</v>
      </c>
      <c r="J5" s="10" t="s">
        <v>13</v>
      </c>
      <c r="K5" s="10" t="s">
        <v>6</v>
      </c>
      <c r="L5" s="10" t="s">
        <v>7</v>
      </c>
      <c r="M5" s="10" t="s">
        <v>8</v>
      </c>
      <c r="N5" s="10" t="s">
        <v>15</v>
      </c>
      <c r="O5" s="10" t="s">
        <v>10</v>
      </c>
      <c r="P5" s="10" t="s">
        <v>9</v>
      </c>
      <c r="Q5" s="10" t="s">
        <v>11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1" t="s">
        <v>18</v>
      </c>
      <c r="B6" s="11"/>
      <c r="C6" s="11"/>
      <c r="D6" s="10" t="s">
        <v>20</v>
      </c>
      <c r="E6" s="10">
        <v>18</v>
      </c>
      <c r="F6" s="10">
        <v>42</v>
      </c>
      <c r="G6" s="10">
        <v>43</v>
      </c>
      <c r="H6" s="10">
        <v>22</v>
      </c>
      <c r="I6" s="10">
        <v>43</v>
      </c>
      <c r="J6" s="3">
        <f t="shared" ref="J6:J7" si="5">(G6+H6)/I6</f>
        <v>1.5116279069767442</v>
      </c>
      <c r="K6" s="10">
        <v>13138</v>
      </c>
      <c r="L6" s="10">
        <v>16312</v>
      </c>
      <c r="M6" s="10">
        <f t="shared" ref="M6:M7" si="6">K6-L6</f>
        <v>-3174</v>
      </c>
      <c r="N6" s="8">
        <f t="shared" ref="N6:N7" si="7">K6/F6</f>
        <v>312.8095238095238</v>
      </c>
      <c r="O6" s="6">
        <v>0.45200000000000001</v>
      </c>
      <c r="P6" s="6">
        <v>0.26300000000000001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1"/>
      <c r="B7" s="11"/>
      <c r="C7" s="11"/>
      <c r="D7" s="10" t="s">
        <v>2</v>
      </c>
      <c r="E7" s="10">
        <v>7</v>
      </c>
      <c r="F7" s="10">
        <v>34</v>
      </c>
      <c r="G7" s="10">
        <v>47</v>
      </c>
      <c r="H7" s="10">
        <v>51</v>
      </c>
      <c r="I7" s="10">
        <v>29</v>
      </c>
      <c r="J7" s="3">
        <f t="shared" si="5"/>
        <v>3.3793103448275863</v>
      </c>
      <c r="K7" s="10">
        <v>21561</v>
      </c>
      <c r="L7" s="10">
        <v>18200</v>
      </c>
      <c r="M7" s="10">
        <f t="shared" si="6"/>
        <v>3361</v>
      </c>
      <c r="N7" s="8">
        <f t="shared" si="7"/>
        <v>634.14705882352939</v>
      </c>
      <c r="O7" s="6">
        <v>0.61799999999999999</v>
      </c>
      <c r="P7" s="6">
        <v>0.57099999999999995</v>
      </c>
      <c r="Q7" s="6">
        <v>0.41699999999999998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1"/>
      <c r="B8" s="11"/>
      <c r="C8" s="11"/>
      <c r="D8" s="10" t="s">
        <v>21</v>
      </c>
      <c r="E8" s="2">
        <f t="shared" ref="E8" si="8">E7-E6</f>
        <v>-11</v>
      </c>
      <c r="F8" s="2">
        <f t="shared" ref="F8:Q8" si="9">F6-F7</f>
        <v>8</v>
      </c>
      <c r="G8" s="2">
        <f t="shared" si="9"/>
        <v>-4</v>
      </c>
      <c r="H8" s="2">
        <f t="shared" si="9"/>
        <v>-29</v>
      </c>
      <c r="I8" s="5">
        <f t="shared" si="9"/>
        <v>14</v>
      </c>
      <c r="J8" s="4">
        <f t="shared" si="9"/>
        <v>-1.8676824378508421</v>
      </c>
      <c r="K8" s="2">
        <f t="shared" si="9"/>
        <v>-8423</v>
      </c>
      <c r="L8" s="5">
        <f t="shared" si="9"/>
        <v>-1888</v>
      </c>
      <c r="M8" s="2">
        <f t="shared" si="9"/>
        <v>-6535</v>
      </c>
      <c r="N8" s="4">
        <f t="shared" si="9"/>
        <v>-321.3375350140056</v>
      </c>
      <c r="O8" s="7">
        <f t="shared" si="9"/>
        <v>-0.16599999999999998</v>
      </c>
      <c r="P8" s="7">
        <f t="shared" si="9"/>
        <v>-0.30799999999999994</v>
      </c>
      <c r="Q8" s="7">
        <f t="shared" si="9"/>
        <v>-0.41699999999999998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1" t="s">
        <v>1</v>
      </c>
      <c r="B9" s="11"/>
      <c r="C9" s="11"/>
      <c r="D9" s="10" t="s">
        <v>0</v>
      </c>
      <c r="E9" s="10" t="s">
        <v>3</v>
      </c>
      <c r="F9" s="10" t="s">
        <v>14</v>
      </c>
      <c r="G9" s="10" t="s">
        <v>4</v>
      </c>
      <c r="H9" s="10" t="s">
        <v>5</v>
      </c>
      <c r="I9" s="10" t="s">
        <v>12</v>
      </c>
      <c r="J9" s="10" t="s">
        <v>13</v>
      </c>
      <c r="K9" s="10" t="s">
        <v>6</v>
      </c>
      <c r="L9" s="10" t="s">
        <v>7</v>
      </c>
      <c r="M9" s="10" t="s">
        <v>8</v>
      </c>
      <c r="N9" s="10" t="s">
        <v>15</v>
      </c>
      <c r="O9" s="10" t="s">
        <v>10</v>
      </c>
      <c r="P9" s="10" t="s">
        <v>9</v>
      </c>
      <c r="Q9" s="10" t="s">
        <v>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1" t="s">
        <v>19</v>
      </c>
      <c r="B10" s="11"/>
      <c r="C10" s="11"/>
      <c r="D10" s="10" t="s">
        <v>20</v>
      </c>
      <c r="E10" s="10">
        <v>32</v>
      </c>
      <c r="F10" s="10">
        <v>24</v>
      </c>
      <c r="G10" s="10">
        <v>16</v>
      </c>
      <c r="H10" s="10">
        <v>13</v>
      </c>
      <c r="I10" s="10">
        <v>25</v>
      </c>
      <c r="J10" s="3">
        <f t="shared" ref="J10:J11" si="10">(G10+H10)/I10</f>
        <v>1.1599999999999999</v>
      </c>
      <c r="K10" s="10">
        <v>7497</v>
      </c>
      <c r="L10" s="10">
        <v>11106</v>
      </c>
      <c r="M10" s="10">
        <f t="shared" ref="M10:M11" si="11">K10-L10</f>
        <v>-3609</v>
      </c>
      <c r="N10" s="8">
        <f t="shared" ref="N10:N11" si="12">K10/F10</f>
        <v>312.375</v>
      </c>
      <c r="O10" s="6">
        <v>0.625</v>
      </c>
      <c r="P10" s="6">
        <v>0.4</v>
      </c>
      <c r="Q10" s="6">
        <v>0.16700000000000001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1"/>
      <c r="B11" s="11"/>
      <c r="C11" s="11"/>
      <c r="D11" s="10" t="s">
        <v>2</v>
      </c>
      <c r="E11" s="10">
        <v>25</v>
      </c>
      <c r="F11" s="10">
        <v>30</v>
      </c>
      <c r="G11" s="10">
        <v>19</v>
      </c>
      <c r="H11" s="10">
        <v>40</v>
      </c>
      <c r="I11" s="10">
        <v>30</v>
      </c>
      <c r="J11" s="3">
        <f t="shared" si="10"/>
        <v>1.9666666666666666</v>
      </c>
      <c r="K11" s="10">
        <v>13694</v>
      </c>
      <c r="L11" s="10">
        <v>16248</v>
      </c>
      <c r="M11" s="10">
        <f t="shared" si="11"/>
        <v>-2554</v>
      </c>
      <c r="N11" s="8">
        <f t="shared" si="12"/>
        <v>456.46666666666664</v>
      </c>
      <c r="O11" s="6">
        <v>0.433</v>
      </c>
      <c r="P11" s="6">
        <v>0.308</v>
      </c>
      <c r="Q11" s="6">
        <v>0.25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1"/>
      <c r="B12" s="11"/>
      <c r="C12" s="11"/>
      <c r="D12" s="10" t="s">
        <v>21</v>
      </c>
      <c r="E12" s="2">
        <f t="shared" ref="E12" si="13">E11-E10</f>
        <v>-7</v>
      </c>
      <c r="F12" s="2">
        <f t="shared" ref="F12:Q12" si="14">F10-F11</f>
        <v>-6</v>
      </c>
      <c r="G12" s="2">
        <f t="shared" si="14"/>
        <v>-3</v>
      </c>
      <c r="H12" s="2">
        <f t="shared" si="14"/>
        <v>-27</v>
      </c>
      <c r="I12" s="5">
        <f t="shared" si="14"/>
        <v>-5</v>
      </c>
      <c r="J12" s="4">
        <f t="shared" si="14"/>
        <v>-0.80666666666666664</v>
      </c>
      <c r="K12" s="2">
        <f t="shared" si="14"/>
        <v>-6197</v>
      </c>
      <c r="L12" s="5">
        <f t="shared" si="14"/>
        <v>-5142</v>
      </c>
      <c r="M12" s="2">
        <f t="shared" si="14"/>
        <v>-1055</v>
      </c>
      <c r="N12" s="4">
        <f t="shared" si="14"/>
        <v>-144.09166666666664</v>
      </c>
      <c r="O12" s="7">
        <f t="shared" si="14"/>
        <v>0.192</v>
      </c>
      <c r="P12" s="7">
        <f t="shared" si="14"/>
        <v>9.2000000000000026E-2</v>
      </c>
      <c r="Q12" s="7">
        <f t="shared" si="14"/>
        <v>-8.299999999999999E-2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1" t="s">
        <v>1</v>
      </c>
      <c r="B13" s="11"/>
      <c r="C13" s="11"/>
      <c r="D13" s="10" t="s">
        <v>0</v>
      </c>
      <c r="E13" s="10" t="s">
        <v>3</v>
      </c>
      <c r="F13" s="10" t="s">
        <v>14</v>
      </c>
      <c r="G13" s="10" t="s">
        <v>4</v>
      </c>
      <c r="H13" s="10" t="s">
        <v>5</v>
      </c>
      <c r="I13" s="10" t="s">
        <v>12</v>
      </c>
      <c r="J13" s="10" t="s">
        <v>13</v>
      </c>
      <c r="K13" s="10" t="s">
        <v>6</v>
      </c>
      <c r="L13" s="10" t="s">
        <v>7</v>
      </c>
      <c r="M13" s="10" t="s">
        <v>8</v>
      </c>
      <c r="N13" s="10" t="s">
        <v>15</v>
      </c>
      <c r="O13" s="10" t="s">
        <v>10</v>
      </c>
      <c r="P13" s="10" t="s">
        <v>9</v>
      </c>
      <c r="Q13" s="10" t="s">
        <v>11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1" t="s">
        <v>17</v>
      </c>
      <c r="B14" s="11"/>
      <c r="C14" s="11"/>
      <c r="D14" s="10" t="s">
        <v>20</v>
      </c>
      <c r="E14" s="10">
        <v>5</v>
      </c>
      <c r="F14" s="10">
        <v>42</v>
      </c>
      <c r="G14" s="10">
        <v>52</v>
      </c>
      <c r="H14" s="10">
        <v>46</v>
      </c>
      <c r="I14" s="10">
        <v>42</v>
      </c>
      <c r="J14" s="3">
        <f t="shared" ref="J14:J15" si="15">(G14+H14)/I14</f>
        <v>2.3333333333333335</v>
      </c>
      <c r="K14" s="10">
        <v>24725</v>
      </c>
      <c r="L14" s="10">
        <v>22316</v>
      </c>
      <c r="M14" s="10">
        <f t="shared" ref="M14:M15" si="16">K14-L14</f>
        <v>2409</v>
      </c>
      <c r="N14" s="8">
        <f t="shared" ref="N14:N15" si="17">K14/F14</f>
        <v>588.69047619047615</v>
      </c>
      <c r="O14" s="6">
        <v>0.59499999999999997</v>
      </c>
      <c r="P14" s="6">
        <v>0.48</v>
      </c>
      <c r="Q14" s="6">
        <v>0.25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1"/>
      <c r="B15" s="11"/>
      <c r="C15" s="11"/>
      <c r="D15" s="10" t="s">
        <v>2</v>
      </c>
      <c r="E15" s="10">
        <v>4</v>
      </c>
      <c r="F15" s="10">
        <v>42</v>
      </c>
      <c r="G15" s="10">
        <v>41</v>
      </c>
      <c r="H15" s="10">
        <v>65</v>
      </c>
      <c r="I15" s="10">
        <v>38</v>
      </c>
      <c r="J15" s="3">
        <f t="shared" si="15"/>
        <v>2.7894736842105261</v>
      </c>
      <c r="K15" s="10">
        <v>23749</v>
      </c>
      <c r="L15" s="10">
        <v>22209</v>
      </c>
      <c r="M15" s="10">
        <f t="shared" si="16"/>
        <v>1540</v>
      </c>
      <c r="N15" s="8">
        <f t="shared" si="17"/>
        <v>565.45238095238096</v>
      </c>
      <c r="O15" s="6">
        <v>0.66700000000000004</v>
      </c>
      <c r="P15" s="6">
        <v>0.57099999999999995</v>
      </c>
      <c r="Q15" s="6">
        <v>0.313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1"/>
      <c r="B16" s="11"/>
      <c r="C16" s="11"/>
      <c r="D16" s="10" t="s">
        <v>21</v>
      </c>
      <c r="E16" s="2">
        <f t="shared" ref="E16" si="18">E15-E14</f>
        <v>-1</v>
      </c>
      <c r="F16" s="2">
        <f t="shared" ref="F16:Q16" si="19">F14-F15</f>
        <v>0</v>
      </c>
      <c r="G16" s="2">
        <f t="shared" si="19"/>
        <v>11</v>
      </c>
      <c r="H16" s="2">
        <f t="shared" si="19"/>
        <v>-19</v>
      </c>
      <c r="I16" s="5">
        <f t="shared" si="19"/>
        <v>4</v>
      </c>
      <c r="J16" s="4">
        <f t="shared" si="19"/>
        <v>-0.45614035087719262</v>
      </c>
      <c r="K16" s="2">
        <f t="shared" si="19"/>
        <v>976</v>
      </c>
      <c r="L16" s="5">
        <f t="shared" si="19"/>
        <v>107</v>
      </c>
      <c r="M16" s="2">
        <f t="shared" si="19"/>
        <v>869</v>
      </c>
      <c r="N16" s="4">
        <f t="shared" si="19"/>
        <v>23.238095238095184</v>
      </c>
      <c r="O16" s="7">
        <f t="shared" si="19"/>
        <v>-7.2000000000000064E-2</v>
      </c>
      <c r="P16" s="7">
        <f t="shared" si="19"/>
        <v>-9.099999999999997E-2</v>
      </c>
      <c r="Q16" s="7">
        <f t="shared" si="19"/>
        <v>-6.3E-2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1" t="s">
        <v>1</v>
      </c>
      <c r="B17" s="11"/>
      <c r="C17" s="11"/>
      <c r="D17" s="10" t="s">
        <v>0</v>
      </c>
      <c r="E17" s="10" t="s">
        <v>3</v>
      </c>
      <c r="F17" s="10" t="s">
        <v>14</v>
      </c>
      <c r="G17" s="10" t="s">
        <v>4</v>
      </c>
      <c r="H17" s="10" t="s">
        <v>5</v>
      </c>
      <c r="I17" s="10" t="s">
        <v>12</v>
      </c>
      <c r="J17" s="10" t="s">
        <v>13</v>
      </c>
      <c r="K17" s="10" t="s">
        <v>6</v>
      </c>
      <c r="L17" s="10" t="s">
        <v>7</v>
      </c>
      <c r="M17" s="10" t="s">
        <v>8</v>
      </c>
      <c r="N17" s="10" t="s">
        <v>15</v>
      </c>
      <c r="O17" s="10" t="s">
        <v>24</v>
      </c>
      <c r="P17" s="10" t="s">
        <v>25</v>
      </c>
      <c r="Q17" s="10" t="s">
        <v>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1" t="s">
        <v>22</v>
      </c>
      <c r="B18" s="11"/>
      <c r="C18" s="11"/>
      <c r="D18" s="10" t="s">
        <v>20</v>
      </c>
      <c r="E18" s="10">
        <v>13</v>
      </c>
      <c r="F18" s="10">
        <v>41</v>
      </c>
      <c r="G18" s="10">
        <v>39</v>
      </c>
      <c r="H18" s="10" t="s">
        <v>23</v>
      </c>
      <c r="I18" s="10" t="s">
        <v>23</v>
      </c>
      <c r="J18" s="3" t="s">
        <v>23</v>
      </c>
      <c r="K18" s="10">
        <v>21310</v>
      </c>
      <c r="L18" s="10" t="s">
        <v>23</v>
      </c>
      <c r="M18" s="10" t="s">
        <v>23</v>
      </c>
      <c r="N18" s="8">
        <f t="shared" ref="N18:N19" si="20">K18/F18</f>
        <v>519.7560975609756</v>
      </c>
      <c r="O18" s="10">
        <v>10.72</v>
      </c>
      <c r="P18" s="10">
        <v>10.17</v>
      </c>
      <c r="Q18" s="10" t="s">
        <v>23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1"/>
      <c r="B19" s="11"/>
      <c r="C19" s="11"/>
      <c r="D19" s="10" t="s">
        <v>2</v>
      </c>
      <c r="E19" s="10">
        <v>6</v>
      </c>
      <c r="F19" s="10">
        <v>41</v>
      </c>
      <c r="G19" s="10">
        <v>60</v>
      </c>
      <c r="H19" s="10" t="s">
        <v>23</v>
      </c>
      <c r="I19" s="10" t="s">
        <v>23</v>
      </c>
      <c r="J19" s="3" t="s">
        <v>23</v>
      </c>
      <c r="K19" s="10">
        <v>23582</v>
      </c>
      <c r="L19" s="10" t="s">
        <v>23</v>
      </c>
      <c r="M19" s="10" t="s">
        <v>23</v>
      </c>
      <c r="N19" s="8">
        <f t="shared" si="20"/>
        <v>575.17073170731703</v>
      </c>
      <c r="O19" s="10">
        <v>9.2799999999999994</v>
      </c>
      <c r="P19" s="10">
        <v>8.7200000000000006</v>
      </c>
      <c r="Q19" s="10" t="s">
        <v>23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1"/>
      <c r="B20" s="11"/>
      <c r="C20" s="11"/>
      <c r="D20" s="10" t="s">
        <v>21</v>
      </c>
      <c r="E20" s="2">
        <f t="shared" ref="E20" si="21">E19-E18</f>
        <v>-7</v>
      </c>
      <c r="F20" s="2">
        <f t="shared" ref="F20:Q20" si="22">F18-F19</f>
        <v>0</v>
      </c>
      <c r="G20" s="2">
        <f t="shared" si="22"/>
        <v>-21</v>
      </c>
      <c r="H20" s="2" t="s">
        <v>23</v>
      </c>
      <c r="I20" s="5" t="s">
        <v>23</v>
      </c>
      <c r="J20" s="4" t="s">
        <v>23</v>
      </c>
      <c r="K20" s="2">
        <f t="shared" si="22"/>
        <v>-2272</v>
      </c>
      <c r="L20" s="5" t="s">
        <v>23</v>
      </c>
      <c r="M20" s="2" t="s">
        <v>23</v>
      </c>
      <c r="N20" s="4">
        <f t="shared" si="22"/>
        <v>-55.414634146341427</v>
      </c>
      <c r="O20" s="4">
        <f>O19-O18</f>
        <v>-1.4400000000000013</v>
      </c>
      <c r="P20" s="4">
        <f>P19-P18</f>
        <v>-1.4499999999999993</v>
      </c>
      <c r="Q20" s="2" t="s">
        <v>23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1"/>
      <c r="B21" s="11"/>
      <c r="C21" s="1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1"/>
      <c r="B22" s="11"/>
      <c r="C22" s="11"/>
      <c r="D22" s="9"/>
      <c r="E22" s="9"/>
      <c r="F22" s="9"/>
      <c r="G22" s="9"/>
      <c r="H22" s="9"/>
      <c r="I22" s="9"/>
      <c r="J22" s="3"/>
      <c r="K22" s="9"/>
      <c r="L22" s="9"/>
      <c r="M22" s="9"/>
      <c r="N22" s="8"/>
      <c r="O22" s="6"/>
      <c r="P22" s="6"/>
      <c r="Q22" s="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1"/>
      <c r="B23" s="11"/>
      <c r="C23" s="11"/>
      <c r="D23" s="9"/>
      <c r="E23" s="9"/>
      <c r="F23" s="9"/>
      <c r="G23" s="9"/>
      <c r="H23" s="9"/>
      <c r="I23" s="9"/>
      <c r="J23" s="3"/>
      <c r="K23" s="9"/>
      <c r="L23" s="9"/>
      <c r="M23" s="9"/>
      <c r="N23" s="8"/>
      <c r="O23" s="6"/>
      <c r="P23" s="6"/>
      <c r="Q23" s="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1"/>
      <c r="B24" s="11"/>
      <c r="C24" s="11"/>
      <c r="D24" s="9"/>
      <c r="E24" s="2"/>
      <c r="F24" s="2"/>
      <c r="G24" s="2"/>
      <c r="H24" s="2"/>
      <c r="I24" s="5"/>
      <c r="J24" s="4"/>
      <c r="K24" s="2"/>
      <c r="L24" s="5"/>
      <c r="M24" s="2"/>
      <c r="N24" s="4"/>
      <c r="O24" s="7"/>
      <c r="P24" s="7"/>
      <c r="Q24" s="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1"/>
      <c r="B25" s="11"/>
      <c r="C25" s="1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1"/>
      <c r="B26" s="11"/>
      <c r="C26" s="11"/>
      <c r="D26" s="9"/>
      <c r="E26" s="1"/>
      <c r="F26" s="1"/>
      <c r="G26" s="1"/>
      <c r="H26" s="1"/>
      <c r="I26" s="1"/>
      <c r="J26" s="3"/>
      <c r="K26" s="1"/>
      <c r="L26" s="1"/>
      <c r="M26" s="1"/>
      <c r="N26" s="8"/>
      <c r="O26" s="6"/>
      <c r="P26" s="6"/>
      <c r="Q26" s="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1"/>
      <c r="B27" s="11"/>
      <c r="C27" s="11"/>
      <c r="D27" s="9"/>
      <c r="E27" s="9"/>
      <c r="F27" s="9"/>
      <c r="G27" s="9"/>
      <c r="H27" s="9"/>
      <c r="I27" s="9"/>
      <c r="J27" s="3"/>
      <c r="K27" s="9"/>
      <c r="L27" s="9"/>
      <c r="M27" s="9"/>
      <c r="N27" s="8"/>
      <c r="O27" s="6"/>
      <c r="P27" s="6"/>
      <c r="Q27" s="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1"/>
      <c r="B28" s="11"/>
      <c r="C28" s="11"/>
      <c r="D28" s="9"/>
      <c r="E28" s="2"/>
      <c r="F28" s="2"/>
      <c r="G28" s="2"/>
      <c r="H28" s="2"/>
      <c r="I28" s="5"/>
      <c r="J28" s="4"/>
      <c r="K28" s="2"/>
      <c r="L28" s="5"/>
      <c r="M28" s="2"/>
      <c r="N28" s="4"/>
      <c r="O28" s="7"/>
      <c r="P28" s="7"/>
      <c r="Q28" s="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1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1"/>
      <c r="B30" s="11"/>
      <c r="C30" s="11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1"/>
      <c r="B31" s="11"/>
      <c r="C31" s="11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1"/>
      <c r="B32" s="11"/>
      <c r="C32" s="11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1"/>
      <c r="B33" s="11"/>
      <c r="C33" s="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1"/>
      <c r="B34" s="11"/>
      <c r="C34" s="11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1"/>
      <c r="B35" s="11"/>
      <c r="C35" s="11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1"/>
      <c r="B36" s="11"/>
      <c r="C36" s="11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1"/>
      <c r="B37" s="11"/>
      <c r="C37" s="1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1"/>
      <c r="B38" s="11"/>
      <c r="C38" s="11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1"/>
      <c r="B39" s="11"/>
      <c r="C39" s="11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1"/>
      <c r="B40" s="11"/>
      <c r="C40" s="11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1"/>
      <c r="B41" s="1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34:C36"/>
    <mergeCell ref="A1:C1"/>
    <mergeCell ref="A2:C4"/>
    <mergeCell ref="A6:C8"/>
    <mergeCell ref="A10:C12"/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2026-03-29T12:42:41Z</dcterms:modified>
</cp:coreProperties>
</file>